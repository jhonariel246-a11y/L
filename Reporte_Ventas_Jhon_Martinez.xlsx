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licerCaches/slicerCache1.xml" ContentType="application/vnd.ms-excel.slicerCache+xml"/>
  <Override PartName="/xl/slicers/slicer1.xml" ContentType="application/vnd.ms-excel.slicer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Categorías" sheetId="2" state="visible" r:id="rId2"/>
    <sheet name="Gráficos" sheetId="3" state="visible" r:id="rId3"/>
    <sheet name="Análisis" sheetId="4" state="visible" r:id="rId4"/>
    <sheet name="TablaDinamica" sheetId="5" state="visible" r:id="rId5"/>
  </sheets>
  <definedNames/>
  <calcPr calcId="124519" fullCalcOnLoad="1"/>
  <pivotCaches>
    <pivotCache cacheId="1" r:id="rId8"/>
  </pivotCaches>
  <extLst>
    <ext xmlns:x14="http://schemas.microsoft.com/office/spreadsheetml/2009/9/main" uri="{BBE1A952-AA13-448e-AADC-164F8A28A991}">
      <x14:slicerCaches>
        <x14:slicerCache r:id="rId9"/>
      </x14:slicerCaches>
    </ext>
  </extLst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color rgb="00000000"/>
      <sz val="13"/>
    </font>
    <font>
      <b val="1"/>
      <i val="1"/>
      <color rgb="00595959"/>
      <sz val="11"/>
    </font>
    <font>
      <b val="1"/>
    </font>
    <font>
      <b val="1"/>
      <color rgb="00C00000"/>
    </font>
    <font>
      <b val="1"/>
      <color rgb="00FFFFFF"/>
      <sz val="11"/>
    </font>
    <font>
      <b val="1"/>
      <color rgb="00FFFFFF"/>
    </font>
    <font>
      <b val="1"/>
      <color rgb="002F5496"/>
      <sz val="14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F2F6FC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9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vertical="center"/>
    </xf>
    <xf numFmtId="3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7" fillId="3" borderId="0" pivotButton="0" quotePrefix="0" xfId="0"/>
    <xf numFmtId="0" fontId="0" fillId="0" borderId="1" pivotButton="0" quotePrefix="0" xfId="0"/>
    <xf numFmtId="0" fontId="8" fillId="0" borderId="0" pivotButton="0" quotePrefix="0" xfId="0"/>
    <xf numFmtId="0" fontId="7" fillId="3" borderId="1" applyAlignment="1" pivotButton="0" quotePrefix="0" xfId="0">
      <alignment horizontal="center" vertical="center"/>
    </xf>
    <xf numFmtId="164" fontId="0" fillId="0" borderId="1" pivotButton="0" quotePrefix="0" xfId="0"/>
    <xf numFmtId="0" fontId="9" fillId="0" borderId="0" pivotButton="0" quotePrefix="0" xfId="0"/>
    <xf numFmtId="0" fontId="7" fillId="5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pivotButton="0" quotePrefix="0" xfId="0"/>
    <xf numFmtId="0" fontId="7" fillId="5" borderId="1" pivotButton="0" quotePrefix="0" xfId="0"/>
    <xf numFmtId="164" fontId="7" fillId="5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Id="rId8" Type="http://schemas.openxmlformats.org/officeDocument/2006/relationships/pivotCacheDefinition" Target="pivotCache/pivotCacheDefinition1.xml"/><Relationship Id="rId9" Type="http://schemas.microsoft.com/office/2007/relationships/slicerCache" Target="slicerCaches/slicerCache1.xml"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Totales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'Gráficos'!B3</f>
            </strRef>
          </tx>
          <spPr>
            <a:ln>
              <a:prstDash val="solid"/>
            </a:ln>
          </spPr>
          <cat>
            <numRef>
              <f>'Gráficos'!$A$4:$A$6</f>
            </numRef>
          </cat>
          <val>
            <numRef>
              <f>'Gráficos'!$B$4:$B$6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'Gráficos'!B9</f>
            </strRef>
          </tx>
          <spPr>
            <a:ln>
              <a:prstDash val="solid"/>
            </a:ln>
          </spPr>
          <cat>
            <numRef>
              <f>'Gráficos'!$A$10:$A$12</f>
            </numRef>
          </cat>
          <val>
            <numRef>
              <f>'Gráficos'!$B$10:$B$12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sle="http://schemas.microsoft.com/office/drawing/2010/slicer" Requires="sle">
      <xdr:twoCellAnchor>
        <xdr:from>
          <xdr:col>6</xdr:col>
          <xdr:colOff>0</xdr:colOff>
          <xdr:row>3</xdr:row>
          <xdr:rowOff>0</xdr:rowOff>
        </xdr:from>
        <xdr:to>
          <xdr:col>8</xdr:col>
          <xdr:colOff>0</xdr:colOff>
          <xdr:row>18</xdr:row>
          <xdr:rowOff>0</xdr:rowOff>
        </xdr:to>
        <xdr:graphicFrame macro="">
          <xdr:nvGraphicFramePr>
            <xdr:cNvPr id="2" name="Produc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  <xdr:clientData/>
      </xdr:twoCellAnchor>
    </mc:Choice>
    <mc:Fallback>
      <xdr:twoCellAnchor>
        <xdr:from>
          <xdr:col>6</xdr:col>
          <xdr:colOff>0</xdr:colOff>
          <xdr:row>3</xdr:row>
          <xdr:rowOff>0</xdr:rowOff>
        </xdr:from>
        <xdr:to>
          <xdr:col>8</xdr:col>
          <xdr:colOff>0</xdr:colOff>
          <xdr:row>18</xdr:row>
          <xdr:rowOff>0</xdr:rowOff>
        </xdr:to>
        <xdr:sp macro="" textlink="">
          <xdr:nvSpPr>
            <xdr:cNvPr id="2" name="Producto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s-EC"/>
                <a:t>Segmentador: Producto</a:t>
              </a:r>
            </a:p>
          </xdr:txBody>
        </xdr:sp>
        <xdr:clientData/>
      </xdr:twoCellAnchor>
    </mc:Fallback>
  </mc:AlternateContent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" refreshedDate="46000" createdVersion="6" refreshedVersion="6" minRefreshableVersion="3" recordCount="50" refreshOnLoad="1" saveData="1">
  <cacheSource type="worksheet">
    <worksheetSource ref="A5:H55" sheet="Ventas"/>
  </cacheSource>
  <cacheFields count="8">
    <cacheField name="Mes" numFmtId="0">
      <sharedItems count="3">
        <s v="Enero"/>
        <s v="Febrero"/>
        <s v="Marzo"/>
      </sharedItems>
    </cacheField>
    <cacheField name="Producto" numFmtId="0">
      <sharedItems count="10">
        <s v="Impresora"/>
        <s v="Toner"/>
        <s v="Router"/>
        <s v="Tinta"/>
        <s v="Carpeta"/>
        <s v="Lápiz"/>
        <s v="Escritorio"/>
        <s v="Calculadora"/>
        <s v="Cuadernos"/>
        <s v="Monitor"/>
      </sharedItems>
    </cacheField>
    <cacheField name="Categoría" numFmtId="0">
      <sharedItems count="3">
        <s v="Tecnología"/>
        <s v="Papelería"/>
        <s v="Oficina"/>
      </sharedItems>
    </cacheField>
    <cacheField name="Cantidad Vendida" numFmtId="0">
      <sharedItems containsSemiMixedTypes="0" containsString="0" containsNumber="1" containsInteger="1" minValue="1" maxValue="20"/>
    </cacheField>
    <cacheField name="Precio Unitario" numFmtId="0">
      <sharedItems containsSemiMixedTypes="0" containsString="0" containsNumber="1" containsInteger="1" minValue="5" maxValue="100"/>
    </cacheField>
    <cacheField name="Subtotal" numFmtId="0">
      <sharedItems containsSemiMixedTypes="0" containsString="0" containsNumber="1" minValue="10" maxValue="1300"/>
    </cacheField>
    <cacheField name="IVA" numFmtId="0">
      <sharedItems containsSemiMixedTypes="0" containsString="0" containsNumber="1" minValue="1.5" maxValue="195"/>
    </cacheField>
    <cacheField name="Total Venta" numFmtId="0">
      <sharedItems containsSemiMixedTypes="0" containsString="0" containsNumber="1" minValue="11.5" maxValue="149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n v="10"/>
    <n v="75"/>
    <n v="750"/>
    <n v="112.5"/>
    <n v="862.5"/>
  </r>
  <r>
    <x v="0"/>
    <x v="1"/>
    <x v="0"/>
    <n v="11"/>
    <n v="15"/>
    <n v="165"/>
    <n v="24.75"/>
    <n v="189.75"/>
  </r>
  <r>
    <x v="0"/>
    <x v="2"/>
    <x v="0"/>
    <n v="11"/>
    <n v="15"/>
    <n v="165"/>
    <n v="24.75"/>
    <n v="189.75"/>
  </r>
  <r>
    <x v="1"/>
    <x v="3"/>
    <x v="0"/>
    <n v="15"/>
    <n v="50"/>
    <n v="750"/>
    <n v="112.5"/>
    <n v="862.5"/>
  </r>
  <r>
    <x v="2"/>
    <x v="3"/>
    <x v="0"/>
    <n v="18"/>
    <n v="50"/>
    <n v="900"/>
    <n v="135"/>
    <n v="1035"/>
  </r>
  <r>
    <x v="2"/>
    <x v="4"/>
    <x v="1"/>
    <n v="19"/>
    <n v="10"/>
    <n v="190"/>
    <n v="28.5"/>
    <n v="218.5"/>
  </r>
  <r>
    <x v="1"/>
    <x v="5"/>
    <x v="1"/>
    <n v="15"/>
    <n v="5"/>
    <n v="75"/>
    <n v="11.25"/>
    <n v="86.25"/>
  </r>
  <r>
    <x v="0"/>
    <x v="2"/>
    <x v="0"/>
    <n v="1"/>
    <n v="100"/>
    <n v="100"/>
    <n v="15"/>
    <n v="115"/>
  </r>
  <r>
    <x v="0"/>
    <x v="3"/>
    <x v="0"/>
    <n v="9"/>
    <n v="100"/>
    <n v="900"/>
    <n v="135"/>
    <n v="1035"/>
  </r>
  <r>
    <x v="1"/>
    <x v="3"/>
    <x v="0"/>
    <n v="8"/>
    <n v="75"/>
    <n v="600"/>
    <n v="90"/>
    <n v="690"/>
  </r>
  <r>
    <x v="1"/>
    <x v="1"/>
    <x v="0"/>
    <n v="5"/>
    <n v="75"/>
    <n v="375"/>
    <n v="56.25"/>
    <n v="431.25"/>
  </r>
  <r>
    <x v="2"/>
    <x v="6"/>
    <x v="2"/>
    <n v="16"/>
    <n v="75"/>
    <n v="1200"/>
    <n v="180"/>
    <n v="1380"/>
  </r>
  <r>
    <x v="0"/>
    <x v="7"/>
    <x v="0"/>
    <n v="13"/>
    <n v="50"/>
    <n v="650"/>
    <n v="97.5"/>
    <n v="747.5"/>
  </r>
  <r>
    <x v="2"/>
    <x v="8"/>
    <x v="1"/>
    <n v="9"/>
    <n v="15"/>
    <n v="135"/>
    <n v="20.25"/>
    <n v="155.25"/>
  </r>
  <r>
    <x v="1"/>
    <x v="2"/>
    <x v="0"/>
    <n v="17"/>
    <n v="75"/>
    <n v="1275"/>
    <n v="191.25"/>
    <n v="1466.25"/>
  </r>
  <r>
    <x v="0"/>
    <x v="7"/>
    <x v="0"/>
    <n v="10"/>
    <n v="5"/>
    <n v="50"/>
    <n v="7.5"/>
    <n v="57.5"/>
  </r>
  <r>
    <x v="1"/>
    <x v="7"/>
    <x v="0"/>
    <n v="20"/>
    <n v="5"/>
    <n v="100"/>
    <n v="15"/>
    <n v="115"/>
  </r>
  <r>
    <x v="1"/>
    <x v="4"/>
    <x v="1"/>
    <n v="13"/>
    <n v="25"/>
    <n v="325"/>
    <n v="48.75"/>
    <n v="373.75"/>
  </r>
  <r>
    <x v="1"/>
    <x v="1"/>
    <x v="0"/>
    <n v="1"/>
    <n v="20"/>
    <n v="20"/>
    <n v="3"/>
    <n v="23"/>
  </r>
  <r>
    <x v="1"/>
    <x v="0"/>
    <x v="0"/>
    <n v="12"/>
    <n v="25"/>
    <n v="300"/>
    <n v="45"/>
    <n v="345"/>
  </r>
  <r>
    <x v="0"/>
    <x v="3"/>
    <x v="0"/>
    <n v="16"/>
    <n v="20"/>
    <n v="320"/>
    <n v="48"/>
    <n v="368"/>
  </r>
  <r>
    <x v="1"/>
    <x v="5"/>
    <x v="1"/>
    <n v="20"/>
    <n v="20"/>
    <n v="400"/>
    <n v="60"/>
    <n v="460"/>
  </r>
  <r>
    <x v="2"/>
    <x v="3"/>
    <x v="0"/>
    <n v="15"/>
    <n v="20"/>
    <n v="300"/>
    <n v="45"/>
    <n v="345"/>
  </r>
  <r>
    <x v="0"/>
    <x v="8"/>
    <x v="1"/>
    <n v="14"/>
    <n v="50"/>
    <n v="700"/>
    <n v="105"/>
    <n v="805"/>
  </r>
  <r>
    <x v="0"/>
    <x v="6"/>
    <x v="2"/>
    <n v="14"/>
    <n v="50"/>
    <n v="700"/>
    <n v="105"/>
    <n v="805"/>
  </r>
  <r>
    <x v="2"/>
    <x v="6"/>
    <x v="2"/>
    <n v="18"/>
    <n v="10"/>
    <n v="180"/>
    <n v="27"/>
    <n v="207"/>
  </r>
  <r>
    <x v="1"/>
    <x v="3"/>
    <x v="0"/>
    <n v="2"/>
    <n v="10"/>
    <n v="20"/>
    <n v="3"/>
    <n v="23"/>
  </r>
  <r>
    <x v="1"/>
    <x v="8"/>
    <x v="1"/>
    <n v="12"/>
    <n v="100"/>
    <n v="1200"/>
    <n v="180"/>
    <n v="1380"/>
  </r>
  <r>
    <x v="1"/>
    <x v="1"/>
    <x v="0"/>
    <n v="19"/>
    <n v="15"/>
    <n v="285"/>
    <n v="42.75"/>
    <n v="327.75"/>
  </r>
  <r>
    <x v="2"/>
    <x v="4"/>
    <x v="1"/>
    <n v="9"/>
    <n v="50"/>
    <n v="450"/>
    <n v="67.5"/>
    <n v="517.5"/>
  </r>
  <r>
    <x v="2"/>
    <x v="9"/>
    <x v="0"/>
    <n v="2"/>
    <n v="15"/>
    <n v="30"/>
    <n v="4.5"/>
    <n v="34.5"/>
  </r>
  <r>
    <x v="0"/>
    <x v="8"/>
    <x v="1"/>
    <n v="3"/>
    <n v="20"/>
    <n v="60"/>
    <n v="9"/>
    <n v="69"/>
  </r>
  <r>
    <x v="1"/>
    <x v="2"/>
    <x v="0"/>
    <n v="9"/>
    <n v="15"/>
    <n v="135"/>
    <n v="20.25"/>
    <n v="155.25"/>
  </r>
  <r>
    <x v="2"/>
    <x v="4"/>
    <x v="1"/>
    <n v="1"/>
    <n v="25"/>
    <n v="25"/>
    <n v="3.75"/>
    <n v="28.75"/>
  </r>
  <r>
    <x v="0"/>
    <x v="5"/>
    <x v="1"/>
    <n v="13"/>
    <n v="100"/>
    <n v="1300"/>
    <n v="195"/>
    <n v="1495"/>
  </r>
  <r>
    <x v="0"/>
    <x v="9"/>
    <x v="0"/>
    <n v="3"/>
    <n v="5"/>
    <n v="15"/>
    <n v="2.25"/>
    <n v="17.25"/>
  </r>
  <r>
    <x v="1"/>
    <x v="2"/>
    <x v="0"/>
    <n v="9"/>
    <n v="15"/>
    <n v="135"/>
    <n v="20.25"/>
    <n v="155.25"/>
  </r>
  <r>
    <x v="0"/>
    <x v="8"/>
    <x v="1"/>
    <n v="15"/>
    <n v="20"/>
    <n v="300"/>
    <n v="45"/>
    <n v="345"/>
  </r>
  <r>
    <x v="2"/>
    <x v="4"/>
    <x v="1"/>
    <n v="9"/>
    <n v="15"/>
    <n v="135"/>
    <n v="20.25"/>
    <n v="155.25"/>
  </r>
  <r>
    <x v="0"/>
    <x v="2"/>
    <x v="0"/>
    <n v="2"/>
    <n v="5"/>
    <n v="10"/>
    <n v="1.5"/>
    <n v="11.5"/>
  </r>
  <r>
    <x v="2"/>
    <x v="2"/>
    <x v="0"/>
    <n v="12"/>
    <n v="25"/>
    <n v="300"/>
    <n v="45"/>
    <n v="345"/>
  </r>
  <r>
    <x v="2"/>
    <x v="0"/>
    <x v="0"/>
    <n v="5"/>
    <n v="10"/>
    <n v="50"/>
    <n v="7.5"/>
    <n v="57.5"/>
  </r>
  <r>
    <x v="0"/>
    <x v="0"/>
    <x v="0"/>
    <n v="14"/>
    <n v="75"/>
    <n v="1050"/>
    <n v="157.5"/>
    <n v="1207.5"/>
  </r>
  <r>
    <x v="1"/>
    <x v="6"/>
    <x v="2"/>
    <n v="5"/>
    <n v="5"/>
    <n v="25"/>
    <n v="3.75"/>
    <n v="28.75"/>
  </r>
  <r>
    <x v="1"/>
    <x v="2"/>
    <x v="0"/>
    <n v="7"/>
    <n v="5"/>
    <n v="35"/>
    <n v="5.25"/>
    <n v="40.25"/>
  </r>
  <r>
    <x v="2"/>
    <x v="2"/>
    <x v="0"/>
    <n v="10"/>
    <n v="50"/>
    <n v="500"/>
    <n v="75"/>
    <n v="575"/>
  </r>
  <r>
    <x v="2"/>
    <x v="3"/>
    <x v="0"/>
    <n v="19"/>
    <n v="10"/>
    <n v="190"/>
    <n v="28.5"/>
    <n v="218.5"/>
  </r>
  <r>
    <x v="1"/>
    <x v="8"/>
    <x v="1"/>
    <n v="12"/>
    <n v="10"/>
    <n v="120"/>
    <n v="18"/>
    <n v="138"/>
  </r>
  <r>
    <x v="0"/>
    <x v="5"/>
    <x v="1"/>
    <n v="10"/>
    <n v="20"/>
    <n v="200"/>
    <n v="30"/>
    <n v="230"/>
  </r>
  <r>
    <x v="0"/>
    <x v="5"/>
    <x v="1"/>
    <n v="2"/>
    <n v="10"/>
    <n v="20"/>
    <n v="3"/>
    <n v="23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amica1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E9" firstHeaderRow="1" firstDataRow="2" firstDataCol="1"/>
  <pivotFields count="8"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a de Total Venta" fld="7" baseField="0" baseItem="0" numFmtId="164"/>
  </dataFields>
  <pivotTableStyleInfo name="PivotStyleLight16" showRowHeaders="1" showColHeaders="1" showRowStripes="0" showColStripes="0" showLastColumn="1"/>
</pivotTableDefinition>
</file>

<file path=xl/slicerCaches/slicerCache1.xml><?xml version="1.0" encoding="utf-8"?>
<slicerCacheDefinition xmlns="http://schemas.microsoft.com/office/spreadsheetml/2009/9/main" xmlns:r="http://schemas.openxmlformats.org/officeDocument/2006/relationships" name="Slicer_Producto" sourceName="Producto">
  <pivotTables>
    <pivotTable tabId="5" name="TablaDinamica1"/>
  </pivotTables>
  <data>
    <tabular pivotCacheId="1">
      <items count="10">
        <i x="0"/>
        <i x="1"/>
        <i x="2"/>
        <i x="3"/>
        <i x="4"/>
        <i x="5"/>
        <i x="6"/>
        <i x="7"/>
        <i x="8"/>
        <i x="9"/>
      </items>
    </tabular>
  </data>
</slicerCacheDefinition>
</file>

<file path=xl/slicers/slicer1.xml><?xml version="1.0" encoding="utf-8"?>
<slicers xmlns="http://schemas.microsoft.com/office/spreadsheetml/2009/9/main" xmlns:r="http://schemas.openxmlformats.org/officeDocument/2006/relationships" xmlns:mc="http://schemas.openxmlformats.org/markup-compatibility/2006" xmlns:x="http://schemas.openxmlformats.org/spreadsheetml/2006/main">
  <slicer name="Producto" cache="Slicer_Producto" caption="Producto" startItem="0" columnCount="1" showCaption="1" level="0" style="SlicerStyleLight1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<Relationship Id="rId3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1" customWidth="1" min="4" max="4"/>
    <col width="12" customWidth="1" min="5" max="5"/>
    <col width="13" customWidth="1" min="6" max="6"/>
    <col width="12" customWidth="1" min="7" max="7"/>
    <col width="13" customWidth="1" min="8" max="8"/>
  </cols>
  <sheetData>
    <row r="1">
      <c r="A1" s="1" t="inlineStr">
        <is>
          <t>LOS INTELECTUALES S.A.</t>
        </is>
      </c>
    </row>
    <row r="2">
      <c r="A2" s="2" t="inlineStr">
        <is>
          <t>REPORTE DE VENTAS</t>
        </is>
      </c>
    </row>
    <row r="3">
      <c r="A3" s="3" t="inlineStr">
        <is>
          <t>PRIMER TRIMESTRE 2026</t>
        </is>
      </c>
    </row>
    <row r="4">
      <c r="A4" s="4" t="inlineStr">
        <is>
          <t>Tasa de IVA:</t>
        </is>
      </c>
      <c r="B4" s="5" t="n">
        <v>0.15</v>
      </c>
    </row>
    <row r="5" ht="30" customHeight="1">
      <c r="A5" s="6" t="inlineStr">
        <is>
          <t>Mes</t>
        </is>
      </c>
      <c r="B5" s="6" t="inlineStr">
        <is>
          <t>Producto</t>
        </is>
      </c>
      <c r="C5" s="6" t="inlineStr">
        <is>
          <t>Categoría</t>
        </is>
      </c>
      <c r="D5" s="6" t="inlineStr">
        <is>
          <t>Cantidad Vendida</t>
        </is>
      </c>
      <c r="E5" s="6" t="inlineStr">
        <is>
          <t>Precio Unitario</t>
        </is>
      </c>
      <c r="F5" s="6" t="inlineStr">
        <is>
          <t>Subtotal</t>
        </is>
      </c>
      <c r="G5" s="6" t="inlineStr">
        <is>
          <t>IVA</t>
        </is>
      </c>
      <c r="H5" s="6" t="inlineStr">
        <is>
          <t>Total Venta</t>
        </is>
      </c>
    </row>
    <row r="6">
      <c r="A6" s="7" t="inlineStr">
        <is>
          <t>Enero</t>
        </is>
      </c>
      <c r="B6" s="7" t="inlineStr">
        <is>
          <t>Impresora</t>
        </is>
      </c>
      <c r="C6" s="7" t="inlineStr">
        <is>
          <t>Tecnología</t>
        </is>
      </c>
      <c r="D6" s="8" t="n">
        <v>10</v>
      </c>
      <c r="E6" s="9" t="n">
        <v>75</v>
      </c>
      <c r="F6" s="9">
        <f>D6*E6</f>
        <v/>
      </c>
      <c r="G6" s="9">
        <f>F6*$B$4</f>
        <v/>
      </c>
      <c r="H6" s="9">
        <f>F6+G6</f>
        <v/>
      </c>
    </row>
    <row r="7">
      <c r="A7" s="10" t="inlineStr">
        <is>
          <t>Enero</t>
        </is>
      </c>
      <c r="B7" s="10" t="inlineStr">
        <is>
          <t>Toner</t>
        </is>
      </c>
      <c r="C7" s="10" t="inlineStr">
        <is>
          <t>Tecnología</t>
        </is>
      </c>
      <c r="D7" s="11" t="n">
        <v>11</v>
      </c>
      <c r="E7" s="12" t="n">
        <v>15</v>
      </c>
      <c r="F7" s="12">
        <f>D7*E7</f>
        <v/>
      </c>
      <c r="G7" s="12">
        <f>F7*$B$4</f>
        <v/>
      </c>
      <c r="H7" s="12">
        <f>F7+G7</f>
        <v/>
      </c>
    </row>
    <row r="8">
      <c r="A8" s="7" t="inlineStr">
        <is>
          <t>Enero</t>
        </is>
      </c>
      <c r="B8" s="7" t="inlineStr">
        <is>
          <t>Router</t>
        </is>
      </c>
      <c r="C8" s="7" t="inlineStr">
        <is>
          <t>Tecnología</t>
        </is>
      </c>
      <c r="D8" s="8" t="n">
        <v>11</v>
      </c>
      <c r="E8" s="9" t="n">
        <v>15</v>
      </c>
      <c r="F8" s="9">
        <f>D8*E8</f>
        <v/>
      </c>
      <c r="G8" s="9">
        <f>F8*$B$4</f>
        <v/>
      </c>
      <c r="H8" s="9">
        <f>F8+G8</f>
        <v/>
      </c>
    </row>
    <row r="9">
      <c r="A9" s="10" t="inlineStr">
        <is>
          <t>Febrero</t>
        </is>
      </c>
      <c r="B9" s="10" t="inlineStr">
        <is>
          <t>Tinta</t>
        </is>
      </c>
      <c r="C9" s="10" t="inlineStr">
        <is>
          <t>Tecnología</t>
        </is>
      </c>
      <c r="D9" s="11" t="n">
        <v>15</v>
      </c>
      <c r="E9" s="12" t="n">
        <v>50</v>
      </c>
      <c r="F9" s="12">
        <f>D9*E9</f>
        <v/>
      </c>
      <c r="G9" s="12">
        <f>F9*$B$4</f>
        <v/>
      </c>
      <c r="H9" s="12">
        <f>F9+G9</f>
        <v/>
      </c>
    </row>
    <row r="10">
      <c r="A10" s="7" t="inlineStr">
        <is>
          <t>Marzo</t>
        </is>
      </c>
      <c r="B10" s="7" t="inlineStr">
        <is>
          <t>Tinta</t>
        </is>
      </c>
      <c r="C10" s="7" t="inlineStr">
        <is>
          <t>Tecnología</t>
        </is>
      </c>
      <c r="D10" s="8" t="n">
        <v>18</v>
      </c>
      <c r="E10" s="9" t="n">
        <v>50</v>
      </c>
      <c r="F10" s="9">
        <f>D10*E10</f>
        <v/>
      </c>
      <c r="G10" s="9">
        <f>F10*$B$4</f>
        <v/>
      </c>
      <c r="H10" s="9">
        <f>F10+G10</f>
        <v/>
      </c>
    </row>
    <row r="11">
      <c r="A11" s="10" t="inlineStr">
        <is>
          <t>Marzo</t>
        </is>
      </c>
      <c r="B11" s="10" t="inlineStr">
        <is>
          <t>Carpeta</t>
        </is>
      </c>
      <c r="C11" s="10" t="inlineStr">
        <is>
          <t>Papelería</t>
        </is>
      </c>
      <c r="D11" s="11" t="n">
        <v>19</v>
      </c>
      <c r="E11" s="12" t="n">
        <v>10</v>
      </c>
      <c r="F11" s="12">
        <f>D11*E11</f>
        <v/>
      </c>
      <c r="G11" s="12">
        <f>F11*$B$4</f>
        <v/>
      </c>
      <c r="H11" s="12">
        <f>F11+G11</f>
        <v/>
      </c>
    </row>
    <row r="12">
      <c r="A12" s="7" t="inlineStr">
        <is>
          <t>Febrero</t>
        </is>
      </c>
      <c r="B12" s="7" t="inlineStr">
        <is>
          <t>Lápiz</t>
        </is>
      </c>
      <c r="C12" s="7" t="inlineStr">
        <is>
          <t>Papelería</t>
        </is>
      </c>
      <c r="D12" s="8" t="n">
        <v>15</v>
      </c>
      <c r="E12" s="9" t="n">
        <v>5</v>
      </c>
      <c r="F12" s="9">
        <f>D12*E12</f>
        <v/>
      </c>
      <c r="G12" s="9">
        <f>F12*$B$4</f>
        <v/>
      </c>
      <c r="H12" s="9">
        <f>F12+G12</f>
        <v/>
      </c>
    </row>
    <row r="13">
      <c r="A13" s="10" t="inlineStr">
        <is>
          <t>Enero</t>
        </is>
      </c>
      <c r="B13" s="10" t="inlineStr">
        <is>
          <t>Router</t>
        </is>
      </c>
      <c r="C13" s="10" t="inlineStr">
        <is>
          <t>Tecnología</t>
        </is>
      </c>
      <c r="D13" s="11" t="n">
        <v>1</v>
      </c>
      <c r="E13" s="12" t="n">
        <v>100</v>
      </c>
      <c r="F13" s="12">
        <f>D13*E13</f>
        <v/>
      </c>
      <c r="G13" s="12">
        <f>F13*$B$4</f>
        <v/>
      </c>
      <c r="H13" s="12">
        <f>F13+G13</f>
        <v/>
      </c>
    </row>
    <row r="14">
      <c r="A14" s="7" t="inlineStr">
        <is>
          <t>Enero</t>
        </is>
      </c>
      <c r="B14" s="7" t="inlineStr">
        <is>
          <t>Tinta</t>
        </is>
      </c>
      <c r="C14" s="7" t="inlineStr">
        <is>
          <t>Tecnología</t>
        </is>
      </c>
      <c r="D14" s="8" t="n">
        <v>9</v>
      </c>
      <c r="E14" s="9" t="n">
        <v>100</v>
      </c>
      <c r="F14" s="9">
        <f>D14*E14</f>
        <v/>
      </c>
      <c r="G14" s="9">
        <f>F14*$B$4</f>
        <v/>
      </c>
      <c r="H14" s="9">
        <f>F14+G14</f>
        <v/>
      </c>
    </row>
    <row r="15">
      <c r="A15" s="10" t="inlineStr">
        <is>
          <t>Febrero</t>
        </is>
      </c>
      <c r="B15" s="10" t="inlineStr">
        <is>
          <t>Tinta</t>
        </is>
      </c>
      <c r="C15" s="10" t="inlineStr">
        <is>
          <t>Tecnología</t>
        </is>
      </c>
      <c r="D15" s="11" t="n">
        <v>8</v>
      </c>
      <c r="E15" s="12" t="n">
        <v>75</v>
      </c>
      <c r="F15" s="12">
        <f>D15*E15</f>
        <v/>
      </c>
      <c r="G15" s="12">
        <f>F15*$B$4</f>
        <v/>
      </c>
      <c r="H15" s="12">
        <f>F15+G15</f>
        <v/>
      </c>
    </row>
    <row r="16">
      <c r="A16" s="7" t="inlineStr">
        <is>
          <t>Febrero</t>
        </is>
      </c>
      <c r="B16" s="7" t="inlineStr">
        <is>
          <t>Toner</t>
        </is>
      </c>
      <c r="C16" s="7" t="inlineStr">
        <is>
          <t>Tecnología</t>
        </is>
      </c>
      <c r="D16" s="8" t="n">
        <v>5</v>
      </c>
      <c r="E16" s="9" t="n">
        <v>75</v>
      </c>
      <c r="F16" s="9">
        <f>D16*E16</f>
        <v/>
      </c>
      <c r="G16" s="9">
        <f>F16*$B$4</f>
        <v/>
      </c>
      <c r="H16" s="9">
        <f>F16+G16</f>
        <v/>
      </c>
    </row>
    <row r="17">
      <c r="A17" s="10" t="inlineStr">
        <is>
          <t>Marzo</t>
        </is>
      </c>
      <c r="B17" s="10" t="inlineStr">
        <is>
          <t>Escritorio</t>
        </is>
      </c>
      <c r="C17" s="10" t="inlineStr">
        <is>
          <t>Oficina</t>
        </is>
      </c>
      <c r="D17" s="11" t="n">
        <v>16</v>
      </c>
      <c r="E17" s="12" t="n">
        <v>75</v>
      </c>
      <c r="F17" s="12">
        <f>D17*E17</f>
        <v/>
      </c>
      <c r="G17" s="12">
        <f>F17*$B$4</f>
        <v/>
      </c>
      <c r="H17" s="12">
        <f>F17+G17</f>
        <v/>
      </c>
    </row>
    <row r="18">
      <c r="A18" s="7" t="inlineStr">
        <is>
          <t>Enero</t>
        </is>
      </c>
      <c r="B18" s="7" t="inlineStr">
        <is>
          <t>Calculadora</t>
        </is>
      </c>
      <c r="C18" s="7" t="inlineStr">
        <is>
          <t>Tecnología</t>
        </is>
      </c>
      <c r="D18" s="8" t="n">
        <v>13</v>
      </c>
      <c r="E18" s="9" t="n">
        <v>50</v>
      </c>
      <c r="F18" s="9">
        <f>D18*E18</f>
        <v/>
      </c>
      <c r="G18" s="9">
        <f>F18*$B$4</f>
        <v/>
      </c>
      <c r="H18" s="9">
        <f>F18+G18</f>
        <v/>
      </c>
    </row>
    <row r="19">
      <c r="A19" s="10" t="inlineStr">
        <is>
          <t>Marzo</t>
        </is>
      </c>
      <c r="B19" s="10" t="inlineStr">
        <is>
          <t>Cuadernos</t>
        </is>
      </c>
      <c r="C19" s="10" t="inlineStr">
        <is>
          <t>Papelería</t>
        </is>
      </c>
      <c r="D19" s="11" t="n">
        <v>9</v>
      </c>
      <c r="E19" s="12" t="n">
        <v>15</v>
      </c>
      <c r="F19" s="12">
        <f>D19*E19</f>
        <v/>
      </c>
      <c r="G19" s="12">
        <f>F19*$B$4</f>
        <v/>
      </c>
      <c r="H19" s="12">
        <f>F19+G19</f>
        <v/>
      </c>
    </row>
    <row r="20">
      <c r="A20" s="7" t="inlineStr">
        <is>
          <t>Febrero</t>
        </is>
      </c>
      <c r="B20" s="7" t="inlineStr">
        <is>
          <t>Router</t>
        </is>
      </c>
      <c r="C20" s="7" t="inlineStr">
        <is>
          <t>Tecnología</t>
        </is>
      </c>
      <c r="D20" s="8" t="n">
        <v>17</v>
      </c>
      <c r="E20" s="9" t="n">
        <v>75</v>
      </c>
      <c r="F20" s="9">
        <f>D20*E20</f>
        <v/>
      </c>
      <c r="G20" s="9">
        <f>F20*$B$4</f>
        <v/>
      </c>
      <c r="H20" s="9">
        <f>F20+G20</f>
        <v/>
      </c>
    </row>
    <row r="21">
      <c r="A21" s="10" t="inlineStr">
        <is>
          <t>Enero</t>
        </is>
      </c>
      <c r="B21" s="10" t="inlineStr">
        <is>
          <t>Calculadora</t>
        </is>
      </c>
      <c r="C21" s="10" t="inlineStr">
        <is>
          <t>Tecnología</t>
        </is>
      </c>
      <c r="D21" s="11" t="n">
        <v>10</v>
      </c>
      <c r="E21" s="12" t="n">
        <v>5</v>
      </c>
      <c r="F21" s="12">
        <f>D21*E21</f>
        <v/>
      </c>
      <c r="G21" s="12">
        <f>F21*$B$4</f>
        <v/>
      </c>
      <c r="H21" s="12">
        <f>F21+G21</f>
        <v/>
      </c>
    </row>
    <row r="22">
      <c r="A22" s="7" t="inlineStr">
        <is>
          <t>Febrero</t>
        </is>
      </c>
      <c r="B22" s="7" t="inlineStr">
        <is>
          <t>Calculadora</t>
        </is>
      </c>
      <c r="C22" s="7" t="inlineStr">
        <is>
          <t>Tecnología</t>
        </is>
      </c>
      <c r="D22" s="8" t="n">
        <v>20</v>
      </c>
      <c r="E22" s="9" t="n">
        <v>5</v>
      </c>
      <c r="F22" s="9">
        <f>D22*E22</f>
        <v/>
      </c>
      <c r="G22" s="9">
        <f>F22*$B$4</f>
        <v/>
      </c>
      <c r="H22" s="9">
        <f>F22+G22</f>
        <v/>
      </c>
    </row>
    <row r="23">
      <c r="A23" s="10" t="inlineStr">
        <is>
          <t>Febrero</t>
        </is>
      </c>
      <c r="B23" s="10" t="inlineStr">
        <is>
          <t>Carpeta</t>
        </is>
      </c>
      <c r="C23" s="10" t="inlineStr">
        <is>
          <t>Papelería</t>
        </is>
      </c>
      <c r="D23" s="11" t="n">
        <v>13</v>
      </c>
      <c r="E23" s="12" t="n">
        <v>25</v>
      </c>
      <c r="F23" s="12">
        <f>D23*E23</f>
        <v/>
      </c>
      <c r="G23" s="12">
        <f>F23*$B$4</f>
        <v/>
      </c>
      <c r="H23" s="12">
        <f>F23+G23</f>
        <v/>
      </c>
    </row>
    <row r="24">
      <c r="A24" s="7" t="inlineStr">
        <is>
          <t>Febrero</t>
        </is>
      </c>
      <c r="B24" s="7" t="inlineStr">
        <is>
          <t>Toner</t>
        </is>
      </c>
      <c r="C24" s="7" t="inlineStr">
        <is>
          <t>Tecnología</t>
        </is>
      </c>
      <c r="D24" s="8" t="n">
        <v>1</v>
      </c>
      <c r="E24" s="9" t="n">
        <v>20</v>
      </c>
      <c r="F24" s="9">
        <f>D24*E24</f>
        <v/>
      </c>
      <c r="G24" s="9">
        <f>F24*$B$4</f>
        <v/>
      </c>
      <c r="H24" s="9">
        <f>F24+G24</f>
        <v/>
      </c>
    </row>
    <row r="25">
      <c r="A25" s="10" t="inlineStr">
        <is>
          <t>Febrero</t>
        </is>
      </c>
      <c r="B25" s="10" t="inlineStr">
        <is>
          <t>Impresora</t>
        </is>
      </c>
      <c r="C25" s="10" t="inlineStr">
        <is>
          <t>Tecnología</t>
        </is>
      </c>
      <c r="D25" s="11" t="n">
        <v>12</v>
      </c>
      <c r="E25" s="12" t="n">
        <v>25</v>
      </c>
      <c r="F25" s="12">
        <f>D25*E25</f>
        <v/>
      </c>
      <c r="G25" s="12">
        <f>F25*$B$4</f>
        <v/>
      </c>
      <c r="H25" s="12">
        <f>F25+G25</f>
        <v/>
      </c>
    </row>
    <row r="26">
      <c r="A26" s="7" t="inlineStr">
        <is>
          <t>Enero</t>
        </is>
      </c>
      <c r="B26" s="7" t="inlineStr">
        <is>
          <t>Tinta</t>
        </is>
      </c>
      <c r="C26" s="7" t="inlineStr">
        <is>
          <t>Tecnología</t>
        </is>
      </c>
      <c r="D26" s="8" t="n">
        <v>16</v>
      </c>
      <c r="E26" s="9" t="n">
        <v>20</v>
      </c>
      <c r="F26" s="9">
        <f>D26*E26</f>
        <v/>
      </c>
      <c r="G26" s="9">
        <f>F26*$B$4</f>
        <v/>
      </c>
      <c r="H26" s="9">
        <f>F26+G26</f>
        <v/>
      </c>
    </row>
    <row r="27">
      <c r="A27" s="10" t="inlineStr">
        <is>
          <t>Febrero</t>
        </is>
      </c>
      <c r="B27" s="10" t="inlineStr">
        <is>
          <t>Lápiz</t>
        </is>
      </c>
      <c r="C27" s="10" t="inlineStr">
        <is>
          <t>Papelería</t>
        </is>
      </c>
      <c r="D27" s="11" t="n">
        <v>20</v>
      </c>
      <c r="E27" s="12" t="n">
        <v>20</v>
      </c>
      <c r="F27" s="12">
        <f>D27*E27</f>
        <v/>
      </c>
      <c r="G27" s="12">
        <f>F27*$B$4</f>
        <v/>
      </c>
      <c r="H27" s="12">
        <f>F27+G27</f>
        <v/>
      </c>
    </row>
    <row r="28">
      <c r="A28" s="7" t="inlineStr">
        <is>
          <t>Marzo</t>
        </is>
      </c>
      <c r="B28" s="7" t="inlineStr">
        <is>
          <t>Tinta</t>
        </is>
      </c>
      <c r="C28" s="7" t="inlineStr">
        <is>
          <t>Tecnología</t>
        </is>
      </c>
      <c r="D28" s="8" t="n">
        <v>15</v>
      </c>
      <c r="E28" s="9" t="n">
        <v>20</v>
      </c>
      <c r="F28" s="9">
        <f>D28*E28</f>
        <v/>
      </c>
      <c r="G28" s="9">
        <f>F28*$B$4</f>
        <v/>
      </c>
      <c r="H28" s="9">
        <f>F28+G28</f>
        <v/>
      </c>
    </row>
    <row r="29">
      <c r="A29" s="10" t="inlineStr">
        <is>
          <t>Enero</t>
        </is>
      </c>
      <c r="B29" s="10" t="inlineStr">
        <is>
          <t>Cuadernos</t>
        </is>
      </c>
      <c r="C29" s="10" t="inlineStr">
        <is>
          <t>Papelería</t>
        </is>
      </c>
      <c r="D29" s="11" t="n">
        <v>14</v>
      </c>
      <c r="E29" s="12" t="n">
        <v>50</v>
      </c>
      <c r="F29" s="12">
        <f>D29*E29</f>
        <v/>
      </c>
      <c r="G29" s="12">
        <f>F29*$B$4</f>
        <v/>
      </c>
      <c r="H29" s="12">
        <f>F29+G29</f>
        <v/>
      </c>
    </row>
    <row r="30">
      <c r="A30" s="7" t="inlineStr">
        <is>
          <t>Enero</t>
        </is>
      </c>
      <c r="B30" s="7" t="inlineStr">
        <is>
          <t>Escritorio</t>
        </is>
      </c>
      <c r="C30" s="7" t="inlineStr">
        <is>
          <t>Oficina</t>
        </is>
      </c>
      <c r="D30" s="8" t="n">
        <v>14</v>
      </c>
      <c r="E30" s="9" t="n">
        <v>50</v>
      </c>
      <c r="F30" s="9">
        <f>D30*E30</f>
        <v/>
      </c>
      <c r="G30" s="9">
        <f>F30*$B$4</f>
        <v/>
      </c>
      <c r="H30" s="9">
        <f>F30+G30</f>
        <v/>
      </c>
    </row>
    <row r="31">
      <c r="A31" s="10" t="inlineStr">
        <is>
          <t>Marzo</t>
        </is>
      </c>
      <c r="B31" s="10" t="inlineStr">
        <is>
          <t>Escritorio</t>
        </is>
      </c>
      <c r="C31" s="10" t="inlineStr">
        <is>
          <t>Oficina</t>
        </is>
      </c>
      <c r="D31" s="11" t="n">
        <v>18</v>
      </c>
      <c r="E31" s="12" t="n">
        <v>10</v>
      </c>
      <c r="F31" s="12">
        <f>D31*E31</f>
        <v/>
      </c>
      <c r="G31" s="12">
        <f>F31*$B$4</f>
        <v/>
      </c>
      <c r="H31" s="12">
        <f>F31+G31</f>
        <v/>
      </c>
    </row>
    <row r="32">
      <c r="A32" s="7" t="inlineStr">
        <is>
          <t>Febrero</t>
        </is>
      </c>
      <c r="B32" s="7" t="inlineStr">
        <is>
          <t>Tinta</t>
        </is>
      </c>
      <c r="C32" s="7" t="inlineStr">
        <is>
          <t>Tecnología</t>
        </is>
      </c>
      <c r="D32" s="8" t="n">
        <v>2</v>
      </c>
      <c r="E32" s="9" t="n">
        <v>10</v>
      </c>
      <c r="F32" s="9">
        <f>D32*E32</f>
        <v/>
      </c>
      <c r="G32" s="9">
        <f>F32*$B$4</f>
        <v/>
      </c>
      <c r="H32" s="9">
        <f>F32+G32</f>
        <v/>
      </c>
    </row>
    <row r="33">
      <c r="A33" s="10" t="inlineStr">
        <is>
          <t>Febrero</t>
        </is>
      </c>
      <c r="B33" s="10" t="inlineStr">
        <is>
          <t>Cuadernos</t>
        </is>
      </c>
      <c r="C33" s="10" t="inlineStr">
        <is>
          <t>Papelería</t>
        </is>
      </c>
      <c r="D33" s="11" t="n">
        <v>12</v>
      </c>
      <c r="E33" s="12" t="n">
        <v>100</v>
      </c>
      <c r="F33" s="12">
        <f>D33*E33</f>
        <v/>
      </c>
      <c r="G33" s="12">
        <f>F33*$B$4</f>
        <v/>
      </c>
      <c r="H33" s="12">
        <f>F33+G33</f>
        <v/>
      </c>
    </row>
    <row r="34">
      <c r="A34" s="7" t="inlineStr">
        <is>
          <t>Febrero</t>
        </is>
      </c>
      <c r="B34" s="7" t="inlineStr">
        <is>
          <t>Toner</t>
        </is>
      </c>
      <c r="C34" s="7" t="inlineStr">
        <is>
          <t>Tecnología</t>
        </is>
      </c>
      <c r="D34" s="8" t="n">
        <v>19</v>
      </c>
      <c r="E34" s="9" t="n">
        <v>15</v>
      </c>
      <c r="F34" s="9">
        <f>D34*E34</f>
        <v/>
      </c>
      <c r="G34" s="9">
        <f>F34*$B$4</f>
        <v/>
      </c>
      <c r="H34" s="9">
        <f>F34+G34</f>
        <v/>
      </c>
    </row>
    <row r="35">
      <c r="A35" s="10" t="inlineStr">
        <is>
          <t>Marzo</t>
        </is>
      </c>
      <c r="B35" s="10" t="inlineStr">
        <is>
          <t>Carpeta</t>
        </is>
      </c>
      <c r="C35" s="10" t="inlineStr">
        <is>
          <t>Papelería</t>
        </is>
      </c>
      <c r="D35" s="11" t="n">
        <v>9</v>
      </c>
      <c r="E35" s="12" t="n">
        <v>50</v>
      </c>
      <c r="F35" s="12">
        <f>D35*E35</f>
        <v/>
      </c>
      <c r="G35" s="12">
        <f>F35*$B$4</f>
        <v/>
      </c>
      <c r="H35" s="12">
        <f>F35+G35</f>
        <v/>
      </c>
    </row>
    <row r="36">
      <c r="A36" s="7" t="inlineStr">
        <is>
          <t>Marzo</t>
        </is>
      </c>
      <c r="B36" s="7" t="inlineStr">
        <is>
          <t>Monitor</t>
        </is>
      </c>
      <c r="C36" s="7" t="inlineStr">
        <is>
          <t>Tecnología</t>
        </is>
      </c>
      <c r="D36" s="8" t="n">
        <v>2</v>
      </c>
      <c r="E36" s="9" t="n">
        <v>15</v>
      </c>
      <c r="F36" s="9">
        <f>D36*E36</f>
        <v/>
      </c>
      <c r="G36" s="9">
        <f>F36*$B$4</f>
        <v/>
      </c>
      <c r="H36" s="9">
        <f>F36+G36</f>
        <v/>
      </c>
    </row>
    <row r="37">
      <c r="A37" s="10" t="inlineStr">
        <is>
          <t>Enero</t>
        </is>
      </c>
      <c r="B37" s="10" t="inlineStr">
        <is>
          <t>Cuadernos</t>
        </is>
      </c>
      <c r="C37" s="10" t="inlineStr">
        <is>
          <t>Papelería</t>
        </is>
      </c>
      <c r="D37" s="11" t="n">
        <v>3</v>
      </c>
      <c r="E37" s="12" t="n">
        <v>20</v>
      </c>
      <c r="F37" s="12">
        <f>D37*E37</f>
        <v/>
      </c>
      <c r="G37" s="12">
        <f>F37*$B$4</f>
        <v/>
      </c>
      <c r="H37" s="12">
        <f>F37+G37</f>
        <v/>
      </c>
    </row>
    <row r="38">
      <c r="A38" s="7" t="inlineStr">
        <is>
          <t>Febrero</t>
        </is>
      </c>
      <c r="B38" s="7" t="inlineStr">
        <is>
          <t>Router</t>
        </is>
      </c>
      <c r="C38" s="7" t="inlineStr">
        <is>
          <t>Tecnología</t>
        </is>
      </c>
      <c r="D38" s="8" t="n">
        <v>9</v>
      </c>
      <c r="E38" s="9" t="n">
        <v>15</v>
      </c>
      <c r="F38" s="9">
        <f>D38*E38</f>
        <v/>
      </c>
      <c r="G38" s="9">
        <f>F38*$B$4</f>
        <v/>
      </c>
      <c r="H38" s="9">
        <f>F38+G38</f>
        <v/>
      </c>
    </row>
    <row r="39">
      <c r="A39" s="10" t="inlineStr">
        <is>
          <t>Marzo</t>
        </is>
      </c>
      <c r="B39" s="10" t="inlineStr">
        <is>
          <t>Carpeta</t>
        </is>
      </c>
      <c r="C39" s="10" t="inlineStr">
        <is>
          <t>Papelería</t>
        </is>
      </c>
      <c r="D39" s="11" t="n">
        <v>1</v>
      </c>
      <c r="E39" s="12" t="n">
        <v>25</v>
      </c>
      <c r="F39" s="12">
        <f>D39*E39</f>
        <v/>
      </c>
      <c r="G39" s="12">
        <f>F39*$B$4</f>
        <v/>
      </c>
      <c r="H39" s="12">
        <f>F39+G39</f>
        <v/>
      </c>
    </row>
    <row r="40">
      <c r="A40" s="7" t="inlineStr">
        <is>
          <t>Enero</t>
        </is>
      </c>
      <c r="B40" s="7" t="inlineStr">
        <is>
          <t>Lápiz</t>
        </is>
      </c>
      <c r="C40" s="7" t="inlineStr">
        <is>
          <t>Papelería</t>
        </is>
      </c>
      <c r="D40" s="8" t="n">
        <v>13</v>
      </c>
      <c r="E40" s="9" t="n">
        <v>100</v>
      </c>
      <c r="F40" s="9">
        <f>D40*E40</f>
        <v/>
      </c>
      <c r="G40" s="9">
        <f>F40*$B$4</f>
        <v/>
      </c>
      <c r="H40" s="9">
        <f>F40+G40</f>
        <v/>
      </c>
    </row>
    <row r="41">
      <c r="A41" s="10" t="inlineStr">
        <is>
          <t>Enero</t>
        </is>
      </c>
      <c r="B41" s="10" t="inlineStr">
        <is>
          <t>Monitor</t>
        </is>
      </c>
      <c r="C41" s="10" t="inlineStr">
        <is>
          <t>Tecnología</t>
        </is>
      </c>
      <c r="D41" s="11" t="n">
        <v>3</v>
      </c>
      <c r="E41" s="12" t="n">
        <v>5</v>
      </c>
      <c r="F41" s="12">
        <f>D41*E41</f>
        <v/>
      </c>
      <c r="G41" s="12">
        <f>F41*$B$4</f>
        <v/>
      </c>
      <c r="H41" s="12">
        <f>F41+G41</f>
        <v/>
      </c>
    </row>
    <row r="42">
      <c r="A42" s="7" t="inlineStr">
        <is>
          <t>Febrero</t>
        </is>
      </c>
      <c r="B42" s="7" t="inlineStr">
        <is>
          <t>Router</t>
        </is>
      </c>
      <c r="C42" s="7" t="inlineStr">
        <is>
          <t>Tecnología</t>
        </is>
      </c>
      <c r="D42" s="8" t="n">
        <v>9</v>
      </c>
      <c r="E42" s="9" t="n">
        <v>15</v>
      </c>
      <c r="F42" s="9">
        <f>D42*E42</f>
        <v/>
      </c>
      <c r="G42" s="9">
        <f>F42*$B$4</f>
        <v/>
      </c>
      <c r="H42" s="9">
        <f>F42+G42</f>
        <v/>
      </c>
    </row>
    <row r="43">
      <c r="A43" s="10" t="inlineStr">
        <is>
          <t>Enero</t>
        </is>
      </c>
      <c r="B43" s="10" t="inlineStr">
        <is>
          <t>Cuadernos</t>
        </is>
      </c>
      <c r="C43" s="10" t="inlineStr">
        <is>
          <t>Papelería</t>
        </is>
      </c>
      <c r="D43" s="11" t="n">
        <v>15</v>
      </c>
      <c r="E43" s="12" t="n">
        <v>20</v>
      </c>
      <c r="F43" s="12">
        <f>D43*E43</f>
        <v/>
      </c>
      <c r="G43" s="12">
        <f>F43*$B$4</f>
        <v/>
      </c>
      <c r="H43" s="12">
        <f>F43+G43</f>
        <v/>
      </c>
    </row>
    <row r="44">
      <c r="A44" s="7" t="inlineStr">
        <is>
          <t>Marzo</t>
        </is>
      </c>
      <c r="B44" s="7" t="inlineStr">
        <is>
          <t>Carpeta</t>
        </is>
      </c>
      <c r="C44" s="7" t="inlineStr">
        <is>
          <t>Papelería</t>
        </is>
      </c>
      <c r="D44" s="8" t="n">
        <v>9</v>
      </c>
      <c r="E44" s="9" t="n">
        <v>15</v>
      </c>
      <c r="F44" s="9">
        <f>D44*E44</f>
        <v/>
      </c>
      <c r="G44" s="9">
        <f>F44*$B$4</f>
        <v/>
      </c>
      <c r="H44" s="9">
        <f>F44+G44</f>
        <v/>
      </c>
    </row>
    <row r="45">
      <c r="A45" s="10" t="inlineStr">
        <is>
          <t>Enero</t>
        </is>
      </c>
      <c r="B45" s="10" t="inlineStr">
        <is>
          <t>Router</t>
        </is>
      </c>
      <c r="C45" s="10" t="inlineStr">
        <is>
          <t>Tecnología</t>
        </is>
      </c>
      <c r="D45" s="11" t="n">
        <v>2</v>
      </c>
      <c r="E45" s="12" t="n">
        <v>5</v>
      </c>
      <c r="F45" s="12">
        <f>D45*E45</f>
        <v/>
      </c>
      <c r="G45" s="12">
        <f>F45*$B$4</f>
        <v/>
      </c>
      <c r="H45" s="12">
        <f>F45+G45</f>
        <v/>
      </c>
    </row>
    <row r="46">
      <c r="A46" s="7" t="inlineStr">
        <is>
          <t>Marzo</t>
        </is>
      </c>
      <c r="B46" s="7" t="inlineStr">
        <is>
          <t>Router</t>
        </is>
      </c>
      <c r="C46" s="7" t="inlineStr">
        <is>
          <t>Tecnología</t>
        </is>
      </c>
      <c r="D46" s="8" t="n">
        <v>12</v>
      </c>
      <c r="E46" s="9" t="n">
        <v>25</v>
      </c>
      <c r="F46" s="9">
        <f>D46*E46</f>
        <v/>
      </c>
      <c r="G46" s="9">
        <f>F46*$B$4</f>
        <v/>
      </c>
      <c r="H46" s="9">
        <f>F46+G46</f>
        <v/>
      </c>
    </row>
    <row r="47">
      <c r="A47" s="10" t="inlineStr">
        <is>
          <t>Marzo</t>
        </is>
      </c>
      <c r="B47" s="10" t="inlineStr">
        <is>
          <t>Impresora</t>
        </is>
      </c>
      <c r="C47" s="10" t="inlineStr">
        <is>
          <t>Tecnología</t>
        </is>
      </c>
      <c r="D47" s="11" t="n">
        <v>5</v>
      </c>
      <c r="E47" s="12" t="n">
        <v>10</v>
      </c>
      <c r="F47" s="12">
        <f>D47*E47</f>
        <v/>
      </c>
      <c r="G47" s="12">
        <f>F47*$B$4</f>
        <v/>
      </c>
      <c r="H47" s="12">
        <f>F47+G47</f>
        <v/>
      </c>
    </row>
    <row r="48">
      <c r="A48" s="7" t="inlineStr">
        <is>
          <t>Enero</t>
        </is>
      </c>
      <c r="B48" s="7" t="inlineStr">
        <is>
          <t>Impresora</t>
        </is>
      </c>
      <c r="C48" s="7" t="inlineStr">
        <is>
          <t>Tecnología</t>
        </is>
      </c>
      <c r="D48" s="8" t="n">
        <v>14</v>
      </c>
      <c r="E48" s="9" t="n">
        <v>75</v>
      </c>
      <c r="F48" s="9">
        <f>D48*E48</f>
        <v/>
      </c>
      <c r="G48" s="9">
        <f>F48*$B$4</f>
        <v/>
      </c>
      <c r="H48" s="9">
        <f>F48+G48</f>
        <v/>
      </c>
    </row>
    <row r="49">
      <c r="A49" s="10" t="inlineStr">
        <is>
          <t>Febrero</t>
        </is>
      </c>
      <c r="B49" s="10" t="inlineStr">
        <is>
          <t>Escritorio</t>
        </is>
      </c>
      <c r="C49" s="10" t="inlineStr">
        <is>
          <t>Oficina</t>
        </is>
      </c>
      <c r="D49" s="11" t="n">
        <v>5</v>
      </c>
      <c r="E49" s="12" t="n">
        <v>5</v>
      </c>
      <c r="F49" s="12">
        <f>D49*E49</f>
        <v/>
      </c>
      <c r="G49" s="12">
        <f>F49*$B$4</f>
        <v/>
      </c>
      <c r="H49" s="12">
        <f>F49+G49</f>
        <v/>
      </c>
    </row>
    <row r="50">
      <c r="A50" s="7" t="inlineStr">
        <is>
          <t>Febrero</t>
        </is>
      </c>
      <c r="B50" s="7" t="inlineStr">
        <is>
          <t>Router</t>
        </is>
      </c>
      <c r="C50" s="7" t="inlineStr">
        <is>
          <t>Tecnología</t>
        </is>
      </c>
      <c r="D50" s="8" t="n">
        <v>7</v>
      </c>
      <c r="E50" s="9" t="n">
        <v>5</v>
      </c>
      <c r="F50" s="9">
        <f>D50*E50</f>
        <v/>
      </c>
      <c r="G50" s="9">
        <f>F50*$B$4</f>
        <v/>
      </c>
      <c r="H50" s="9">
        <f>F50+G50</f>
        <v/>
      </c>
    </row>
    <row r="51">
      <c r="A51" s="10" t="inlineStr">
        <is>
          <t>Marzo</t>
        </is>
      </c>
      <c r="B51" s="10" t="inlineStr">
        <is>
          <t>Router</t>
        </is>
      </c>
      <c r="C51" s="10" t="inlineStr">
        <is>
          <t>Tecnología</t>
        </is>
      </c>
      <c r="D51" s="11" t="n">
        <v>10</v>
      </c>
      <c r="E51" s="12" t="n">
        <v>50</v>
      </c>
      <c r="F51" s="12">
        <f>D51*E51</f>
        <v/>
      </c>
      <c r="G51" s="12">
        <f>F51*$B$4</f>
        <v/>
      </c>
      <c r="H51" s="12">
        <f>F51+G51</f>
        <v/>
      </c>
    </row>
    <row r="52">
      <c r="A52" s="7" t="inlineStr">
        <is>
          <t>Marzo</t>
        </is>
      </c>
      <c r="B52" s="7" t="inlineStr">
        <is>
          <t>Tinta</t>
        </is>
      </c>
      <c r="C52" s="7" t="inlineStr">
        <is>
          <t>Tecnología</t>
        </is>
      </c>
      <c r="D52" s="8" t="n">
        <v>19</v>
      </c>
      <c r="E52" s="9" t="n">
        <v>10</v>
      </c>
      <c r="F52" s="9">
        <f>D52*E52</f>
        <v/>
      </c>
      <c r="G52" s="9">
        <f>F52*$B$4</f>
        <v/>
      </c>
      <c r="H52" s="9">
        <f>F52+G52</f>
        <v/>
      </c>
    </row>
    <row r="53">
      <c r="A53" s="10" t="inlineStr">
        <is>
          <t>Febrero</t>
        </is>
      </c>
      <c r="B53" s="10" t="inlineStr">
        <is>
          <t>Cuadernos</t>
        </is>
      </c>
      <c r="C53" s="10" t="inlineStr">
        <is>
          <t>Papelería</t>
        </is>
      </c>
      <c r="D53" s="11" t="n">
        <v>12</v>
      </c>
      <c r="E53" s="12" t="n">
        <v>10</v>
      </c>
      <c r="F53" s="12">
        <f>D53*E53</f>
        <v/>
      </c>
      <c r="G53" s="12">
        <f>F53*$B$4</f>
        <v/>
      </c>
      <c r="H53" s="12">
        <f>F53+G53</f>
        <v/>
      </c>
    </row>
    <row r="54">
      <c r="A54" s="7" t="inlineStr">
        <is>
          <t>Enero</t>
        </is>
      </c>
      <c r="B54" s="7" t="inlineStr">
        <is>
          <t>Lápiz</t>
        </is>
      </c>
      <c r="C54" s="7" t="inlineStr">
        <is>
          <t>Papelería</t>
        </is>
      </c>
      <c r="D54" s="8" t="n">
        <v>10</v>
      </c>
      <c r="E54" s="9" t="n">
        <v>20</v>
      </c>
      <c r="F54" s="9">
        <f>D54*E54</f>
        <v/>
      </c>
      <c r="G54" s="9">
        <f>F54*$B$4</f>
        <v/>
      </c>
      <c r="H54" s="9">
        <f>F54+G54</f>
        <v/>
      </c>
    </row>
    <row r="55">
      <c r="A55" s="10" t="inlineStr">
        <is>
          <t>Enero</t>
        </is>
      </c>
      <c r="B55" s="10" t="inlineStr">
        <is>
          <t>Lápiz</t>
        </is>
      </c>
      <c r="C55" s="10" t="inlineStr">
        <is>
          <t>Papelería</t>
        </is>
      </c>
      <c r="D55" s="11" t="n">
        <v>2</v>
      </c>
      <c r="E55" s="12" t="n">
        <v>10</v>
      </c>
      <c r="F55" s="12">
        <f>D55*E55</f>
        <v/>
      </c>
      <c r="G55" s="12">
        <f>F55*$B$4</f>
        <v/>
      </c>
      <c r="H55" s="12">
        <f>F55+G55</f>
        <v/>
      </c>
    </row>
    <row r="56">
      <c r="A56" s="13" t="inlineStr">
        <is>
          <t>TOTALES</t>
        </is>
      </c>
      <c r="F56" s="14">
        <f>SUM(F6:F55)</f>
        <v/>
      </c>
      <c r="G56" s="14">
        <f>SUM(G6:G55)</f>
        <v/>
      </c>
      <c r="H56" s="14">
        <f>SUM(H6:H55)</f>
        <v/>
      </c>
    </row>
  </sheetData>
  <mergeCells count="4">
    <mergeCell ref="A56:E56"/>
    <mergeCell ref="A3:H3"/>
    <mergeCell ref="A2:H2"/>
    <mergeCell ref="A1:H1"/>
  </mergeCells>
  <conditionalFormatting sqref="H6:H55">
    <cfRule type="cellIs" priority="1" operator="greaterThan" dxfId="0">
      <formula>500</formula>
    </cfRule>
    <cfRule type="cellIs" priority="2" operator="lessThan" dxfId="1">
      <formula>200</formula>
    </cfRule>
  </conditionalFormatting>
  <dataValidations count="1">
    <dataValidation sqref="C6:C55" showDropDown="0" showInputMessage="0" showErrorMessage="0" allowBlank="1" errorTitle="Categoría inválida" error="Seleccione: Papelería, Tecnología u Oficina" promptTitle="Categoría" prompt="Elija una categoría de la lista" type="list">
      <formula1>='Categorías'!$A$2:$A$4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5" t="inlineStr">
        <is>
          <t>Categorías</t>
        </is>
      </c>
    </row>
    <row r="2">
      <c r="A2" s="16" t="inlineStr">
        <is>
          <t>Tecnología</t>
        </is>
      </c>
    </row>
    <row r="3">
      <c r="A3" s="16" t="inlineStr">
        <is>
          <t>Papelería</t>
        </is>
      </c>
    </row>
    <row r="4">
      <c r="A4" s="16" t="inlineStr">
        <is>
          <t>Oficina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7" t="inlineStr">
        <is>
          <t>RESUMEN PARA GRÁFICOS</t>
        </is>
      </c>
    </row>
    <row r="3">
      <c r="A3" s="18" t="inlineStr">
        <is>
          <t>Mes</t>
        </is>
      </c>
      <c r="B3" s="18" t="inlineStr">
        <is>
          <t>Total Ventas</t>
        </is>
      </c>
    </row>
    <row r="4">
      <c r="A4" s="16" t="inlineStr">
        <is>
          <t>Enero</t>
        </is>
      </c>
      <c r="B4" s="19">
        <f>SUMIF(Ventas!$A$6:$A$55,A4,Ventas!$H$6:$H$55)</f>
        <v/>
      </c>
    </row>
    <row r="5">
      <c r="A5" s="16" t="inlineStr">
        <is>
          <t>Febrero</t>
        </is>
      </c>
      <c r="B5" s="19">
        <f>SUMIF(Ventas!$A$6:$A$55,A5,Ventas!$H$6:$H$55)</f>
        <v/>
      </c>
    </row>
    <row r="6">
      <c r="A6" s="16" t="inlineStr">
        <is>
          <t>Marzo</t>
        </is>
      </c>
      <c r="B6" s="19">
        <f>SUMIF(Ventas!$A$6:$A$55,A6,Ventas!$H$6:$H$55)</f>
        <v/>
      </c>
    </row>
    <row r="9">
      <c r="A9" s="18" t="inlineStr">
        <is>
          <t>Categoría</t>
        </is>
      </c>
      <c r="B9" s="18" t="inlineStr">
        <is>
          <t>Total Ventas</t>
        </is>
      </c>
    </row>
    <row r="10">
      <c r="A10" s="16" t="inlineStr">
        <is>
          <t>Tecnología</t>
        </is>
      </c>
      <c r="B10" s="19">
        <f>SUMIF(Ventas!$C$6:$C$55,A10,Ventas!$H$6:$H$55)</f>
        <v/>
      </c>
    </row>
    <row r="11">
      <c r="A11" s="16" t="inlineStr">
        <is>
          <t>Papelería</t>
        </is>
      </c>
      <c r="B11" s="19">
        <f>SUMIF(Ventas!$C$6:$C$55,A11,Ventas!$H$6:$H$55)</f>
        <v/>
      </c>
    </row>
    <row r="12">
      <c r="A12" s="16" t="inlineStr">
        <is>
          <t>Oficina</t>
        </is>
      </c>
      <c r="B12" s="19">
        <f>SUMIF(Ventas!$C$6:$C$55,A12,Ventas!$H$6:$H$55)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7" t="inlineStr">
        <is>
          <t>ANÁLISIS DE VENTAS: Categoría x Mes</t>
        </is>
      </c>
    </row>
    <row r="2">
      <c r="A2" s="20" t="inlineStr">
        <is>
          <t>(Total Venta agrupado por categoría y mes)</t>
        </is>
      </c>
    </row>
    <row r="4">
      <c r="A4" s="18" t="inlineStr">
        <is>
          <t>Categoría / Mes</t>
        </is>
      </c>
      <c r="B4" s="18" t="inlineStr">
        <is>
          <t>Enero</t>
        </is>
      </c>
      <c r="C4" s="18" t="inlineStr">
        <is>
          <t>Febrero</t>
        </is>
      </c>
      <c r="D4" s="18" t="inlineStr">
        <is>
          <t>Marzo</t>
        </is>
      </c>
      <c r="E4" s="21" t="inlineStr">
        <is>
          <t>Total general</t>
        </is>
      </c>
    </row>
    <row r="5">
      <c r="A5" s="22" t="inlineStr">
        <is>
          <t>Tecnología</t>
        </is>
      </c>
      <c r="B5" s="19">
        <f>SUMIFS(Ventas!$H$6:$H$55,Ventas!$C$6:$C$55,$A5,Ventas!$A$6:$A$55,B$4)</f>
        <v/>
      </c>
      <c r="C5" s="19">
        <f>SUMIFS(Ventas!$H$6:$H$55,Ventas!$C$6:$C$55,$A5,Ventas!$A$6:$A$55,C$4)</f>
        <v/>
      </c>
      <c r="D5" s="19">
        <f>SUMIFS(Ventas!$H$6:$H$55,Ventas!$C$6:$C$55,$A5,Ventas!$A$6:$A$55,D$4)</f>
        <v/>
      </c>
      <c r="E5" s="23">
        <f>SUM(B5:D5)</f>
        <v/>
      </c>
    </row>
    <row r="6">
      <c r="A6" s="22" t="inlineStr">
        <is>
          <t>Papelería</t>
        </is>
      </c>
      <c r="B6" s="19">
        <f>SUMIFS(Ventas!$H$6:$H$55,Ventas!$C$6:$C$55,$A6,Ventas!$A$6:$A$55,B$4)</f>
        <v/>
      </c>
      <c r="C6" s="19">
        <f>SUMIFS(Ventas!$H$6:$H$55,Ventas!$C$6:$C$55,$A6,Ventas!$A$6:$A$55,C$4)</f>
        <v/>
      </c>
      <c r="D6" s="19">
        <f>SUMIFS(Ventas!$H$6:$H$55,Ventas!$C$6:$C$55,$A6,Ventas!$A$6:$A$55,D$4)</f>
        <v/>
      </c>
      <c r="E6" s="23">
        <f>SUM(B6:D6)</f>
        <v/>
      </c>
    </row>
    <row r="7">
      <c r="A7" s="22" t="inlineStr">
        <is>
          <t>Oficina</t>
        </is>
      </c>
      <c r="B7" s="19">
        <f>SUMIFS(Ventas!$H$6:$H$55,Ventas!$C$6:$C$55,$A7,Ventas!$A$6:$A$55,B$4)</f>
        <v/>
      </c>
      <c r="C7" s="19">
        <f>SUMIFS(Ventas!$H$6:$H$55,Ventas!$C$6:$C$55,$A7,Ventas!$A$6:$A$55,C$4)</f>
        <v/>
      </c>
      <c r="D7" s="19">
        <f>SUMIFS(Ventas!$H$6:$H$55,Ventas!$C$6:$C$55,$A7,Ventas!$A$6:$A$55,D$4)</f>
        <v/>
      </c>
      <c r="E7" s="23">
        <f>SUM(B7:D7)</f>
        <v/>
      </c>
    </row>
    <row r="8">
      <c r="A8" s="24" t="inlineStr">
        <is>
          <t>Total general</t>
        </is>
      </c>
      <c r="B8" s="25">
        <f>SUM(B5:B7)</f>
        <v/>
      </c>
      <c r="C8" s="25">
        <f>SUM(C5:C7)</f>
        <v/>
      </c>
      <c r="D8" s="25">
        <f>SUM(D5:D7)</f>
        <v/>
      </c>
      <c r="E8" s="25">
        <f>SUM(E5:E7)</f>
        <v/>
      </c>
    </row>
    <row r="11">
      <c r="A11" s="26" t="inlineStr">
        <is>
          <t>NOTA: Para el paso 7 con una TABLA DINÁMICA real + SEGMENTADOR (slicer): en Excel selecciona la tabla de 'Ventas' (A5:H55) y usa Insertar &gt; Tabla dinámica; arrastra Categoría a Filas, Mes a Columnas y Total Venta a Valores; luego Insertar &gt; Segmentación de datos por 'Producto'. La tabla de arriba ya entrega ese mismo análisis calculado con SUMIFS.</t>
        </is>
      </c>
    </row>
    <row r="12"/>
    <row r="13"/>
    <row r="14"/>
  </sheetData>
  <mergeCells count="1">
    <mergeCell ref="A11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7" t="inlineStr">
        <is>
          <t>TABLA DINÁMICA – Ventas por Categoría y Mes</t>
        </is>
      </c>
    </row>
    <row r="2">
      <c r="A2" s="20" t="inlineStr">
        <is>
          <t>Segmentador (slicer) por Producto a la derecha →</t>
        </is>
      </c>
    </row>
  </sheetData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2026-07-30T13:45:23Z</dcterms:created>
  <dcterms:modified xsi:type="dcterms:W3CDTF">2026-07-30T13:45:23Z</dcterms:modified>
</cp:coreProperties>
</file>