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Ventas" sheetId="2" state="visible" r:id="rId2"/>
    <sheet name="Resumen y Gráficos" sheetId="3" state="visible" r:id="rId3"/>
    <sheet name="Hoja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Arial"/>
      <color rgb="00000000"/>
      <sz val="11"/>
      <scheme val="minor"/>
    </font>
    <font>
      <name val="Calibri"/>
      <b val="1"/>
      <sz val="12"/>
    </font>
    <font>
      <name val="Calibri"/>
      <b val="1"/>
      <color rgb="00000000"/>
      <sz val="12"/>
    </font>
    <font>
      <name val="Calibri"/>
      <sz val="12"/>
    </font>
    <font>
      <name val="Calibri"/>
      <color rgb="00000000"/>
      <sz val="12"/>
    </font>
    <font>
      <name val="Calibri"/>
      <color rgb="00000000"/>
      <sz val="11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b val="1"/>
      <color rgb="00FFF2CC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</fonts>
  <fills count="8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5" fillId="0" borderId="2" pivotButton="0" quotePrefix="0" xfId="0"/>
    <xf numFmtId="0" fontId="0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10" fillId="5" borderId="3" pivotButton="0" quotePrefix="0" xfId="0"/>
    <xf numFmtId="9" fontId="11" fillId="5" borderId="3" pivotButton="0" quotePrefix="0" xfId="0"/>
    <xf numFmtId="0" fontId="8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4" borderId="3" applyAlignment="1" pivotButton="0" quotePrefix="0" xfId="0">
      <alignment horizontal="center" vertical="center" wrapText="1"/>
    </xf>
    <xf numFmtId="0" fontId="14" fillId="6" borderId="3" applyAlignment="1" pivotButton="0" quotePrefix="0" xfId="0">
      <alignment horizontal="left" vertical="center"/>
    </xf>
    <xf numFmtId="3" fontId="14" fillId="6" borderId="3" applyAlignment="1" pivotButton="0" quotePrefix="0" xfId="0">
      <alignment horizontal="center" vertical="center"/>
    </xf>
    <xf numFmtId="164" fontId="14" fillId="6" borderId="3" applyAlignment="1" pivotButton="0" quotePrefix="0" xfId="0">
      <alignment horizontal="right" vertical="center"/>
    </xf>
    <xf numFmtId="0" fontId="14" fillId="7" borderId="3" applyAlignment="1" pivotButton="0" quotePrefix="0" xfId="0">
      <alignment horizontal="left" vertical="center"/>
    </xf>
    <xf numFmtId="3" fontId="14" fillId="7" borderId="3" applyAlignment="1" pivotButton="0" quotePrefix="0" xfId="0">
      <alignment horizontal="center" vertical="center"/>
    </xf>
    <xf numFmtId="164" fontId="14" fillId="7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right"/>
    </xf>
    <xf numFmtId="164" fontId="13" fillId="3" borderId="3" pivotButton="0" quotePrefix="0" xfId="0"/>
    <xf numFmtId="0" fontId="15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4" fillId="0" borderId="3" pivotButton="0" quotePrefix="0" xfId="0"/>
    <xf numFmtId="164" fontId="14" fillId="0" borderId="3" pivotButton="0" quotePrefix="0" xfId="0"/>
    <xf numFmtId="0" fontId="10" fillId="0" borderId="3" pivotButton="0" quotePrefix="0" xfId="0"/>
    <xf numFmtId="164" fontId="10" fillId="0" borderId="3" pivotButton="0" quotePrefix="0" xfId="0"/>
    <xf numFmtId="0" fontId="10" fillId="7" borderId="3" pivotButton="0" quotePrefix="0" xfId="0"/>
    <xf numFmtId="164" fontId="10" fillId="7" borderId="3" pivotButton="0" quotePrefix="0" xfId="0"/>
    <xf numFmtId="0" fontId="12" fillId="0" borderId="0" applyAlignment="1" pivotButton="0" quotePrefix="0" xfId="0">
      <alignment vertical="top" wrapText="1"/>
    </xf>
    <xf numFmtId="0" fontId="14" fillId="7" borderId="3" pivotButton="0" quotePrefix="0" xfId="0"/>
    <xf numFmtId="0" fontId="14" fillId="6" borderId="3" pivotButton="0" quotePrefix="0" xfId="0"/>
  </cellXfs>
  <cellStyles count="1">
    <cellStyle name="Normal" xfId="0" builtinId="0"/>
  </cellStyles>
  <dxfs count="2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Totales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y Gráficos'!B4</f>
            </strRef>
          </tx>
          <spPr>
            <a:ln>
              <a:prstDash val="solid"/>
            </a:ln>
          </spPr>
          <cat>
            <numRef>
              <f>'Resumen y Gráficos'!$A$5:$A$7</f>
            </numRef>
          </cat>
          <val>
            <numRef>
              <f>'Resumen y Gráficos'!$B$5:$B$7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Venta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'Resumen y Gráficos'!E4</f>
            </strRef>
          </tx>
          <spPr>
            <a:ln>
              <a:prstDash val="solid"/>
            </a:ln>
          </spPr>
          <cat>
            <numRef>
              <f>'Resumen y Gráficos'!$D$5:$D$7</f>
            </numRef>
          </cat>
          <val>
            <numRef>
              <f>'Resumen y Gráficos'!$E$5:$E$7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1" min="1" max="12"/>
    <col width="11.29" customWidth="1" style="11" min="13" max="13"/>
  </cols>
  <sheetData>
    <row r="1" ht="15.75" customHeight="1" s="11">
      <c r="A1" s="7" t="inlineStr">
        <is>
          <t>UNIDAD EDUCATIVA FISCAL “GUAYAQUIL”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5.75" customHeight="1" s="11">
      <c r="A2" s="7" t="inlineStr">
        <is>
          <t>Ejercicio Práctico – Unidad 1: Paquetes Contables y Tributarios (3ro Conta.)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5.75" customHeight="1" s="11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15.75" customHeight="1" s="11">
      <c r="A4" s="5" t="inlineStr">
        <is>
          <t>Objetivo: Aplicar fórmulas, listas desplegables, formato condicional, gráficos y tablas dinámicas en el contexto contable.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15.75" customHeight="1" s="11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5.75" customHeight="1" s="11">
      <c r="A6" s="7" t="inlineStr">
        <is>
          <t>INSTRUCCIONES: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20.25" customHeight="1" s="11">
      <c r="A7" s="7" t="inlineStr">
        <is>
          <t>1. Dirígete a la hoja llamada 'Ventas'.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20.25" customHeight="1" s="11">
      <c r="A8" s="7" t="inlineStr">
        <is>
          <t xml:space="preserve">      Dar formato a la tabla, números  y  Agregar Encabezado con los siguientes Datos: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20.25" customHeight="1" s="11">
      <c r="A9" s="7" t="inlineStr">
        <is>
          <t xml:space="preserve">     * LOS INTELECTUALES S.A.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20.25" customHeight="1" s="11">
      <c r="A10" s="7" t="inlineStr">
        <is>
          <t xml:space="preserve">     * REPORTE DE VENTAS 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0.25" customHeight="1" s="11">
      <c r="A11" s="7" t="inlineStr">
        <is>
          <t xml:space="preserve">     * PRIMER TRIMESTRE 2026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20.25" customHeight="1" s="11">
      <c r="A12" s="7" t="inlineStr">
        <is>
          <t>2. En la columna 'Total Venta', aplica una fórmula que multiplique la Cantidad Vendida por el Precio Unitario.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20.25" customHeight="1" s="11">
      <c r="A13" s="7" t="inlineStr">
        <is>
          <t xml:space="preserve">    Luego aplica referencia absoluta para fjar el porcentaje del IVA, Aplicar formula de Suma para el valor total  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0.25" customHeight="1" s="11">
      <c r="A14" s="7" t="inlineStr">
        <is>
          <t>3. Aplica formato condicional en la columna 'Total Venta':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0.25" customHeight="1" s="11">
      <c r="A15" s="7" t="inlineStr">
        <is>
          <t xml:space="preserve">     - Si el valor es mayor a $500, color de fondo verde.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20.25" customHeight="1" s="11">
      <c r="A16" s="7" t="inlineStr">
        <is>
          <t xml:space="preserve">     - Si el valor es menor a $200, color de fondo rojo.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20.25" customHeight="1" s="11">
      <c r="A17" s="7" t="inlineStr">
        <is>
          <t>4. Verifica que la columna 'Categoría' Crea una lista desplegable (Papelería, Tecnología, Oficina). HOJA 1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0.25" customHeight="1" s="11">
      <c r="A18" s="7" t="inlineStr">
        <is>
          <t>5. Inserta una nueva hoja y crea un gráfico de columnas que muestre las ventas totales por mes.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20.25" customHeight="1" s="11">
      <c r="A19" s="7" t="inlineStr">
        <is>
          <t>6. Crea un gráfico circular que muestre las ventas por categoría.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20.25" customHeight="1" s="11">
      <c r="A20" s="7" t="inlineStr">
        <is>
          <t>7. Crea una tabla dinámica que analice las ventas agrupadas por categoría y por mes.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20.25" customHeight="1" s="11">
      <c r="A21" s="7" t="inlineStr">
        <is>
          <t xml:space="preserve">     - Agrega un segmentador por producto para filtrar dinámicamente.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5.75" customHeight="1" s="11">
      <c r="A22" s="7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5.75" customHeight="1" s="11">
      <c r="A23" s="7" t="inlineStr">
        <is>
          <t xml:space="preserve">Guarda el archivo con tu nombre al finalizar y envíalo al DRIVE 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5.75" customHeight="1" s="1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15.75" customHeight="1" s="1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15.75" customHeight="1" s="1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15.75" customHeight="1" s="1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15.75" customHeight="1" s="1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15.75" customHeight="1" s="1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15.75" customHeight="1" s="1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15.75" customHeight="1" s="1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15.75" customHeight="1" s="1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15.75" customHeight="1" s="1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 ht="15.75" customHeight="1" s="1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 ht="15.75" customHeight="1" s="1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 ht="15.75" customHeight="1" s="1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 ht="15.75" customHeight="1" s="1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 ht="15.75" customHeight="1" s="1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 ht="15.75" customHeight="1" s="1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 ht="15.75" customHeight="1" s="1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 ht="15.75" customHeight="1" s="1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 ht="15.75" customHeight="1" s="1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 ht="15.75" customHeight="1" s="1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 ht="15.75" customHeight="1" s="1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 ht="15.75" customHeight="1" s="1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 ht="15.75" customHeight="1" s="1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 ht="15.75" customHeight="1" s="1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15.75" customHeight="1" s="1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 ht="15.75" customHeight="1" s="1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15.75" customHeight="1" s="1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15.75" customHeight="1" s="1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15.75" customHeight="1" s="1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 ht="15.75" customHeight="1" s="1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15.75" customHeight="1" s="1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 ht="15.75" customHeight="1" s="1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15.75" customHeight="1" s="1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 ht="15.75" customHeight="1" s="1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 ht="15.75" customHeight="1" s="1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 ht="15.75" customHeight="1" s="1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 ht="15.75" customHeight="1" s="1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15.75" customHeight="1" s="1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15.75" customHeight="1" s="1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 ht="15.75" customHeight="1" s="1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 ht="15.75" customHeight="1" s="1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 ht="15.75" customHeight="1" s="1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 ht="15.75" customHeight="1" s="1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 ht="15.75" customHeight="1" s="1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 ht="15.75" customHeight="1" s="1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15.75" customHeight="1" s="1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 ht="15.75" customHeight="1" s="1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 ht="15.75" customHeight="1" s="1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 ht="15.75" customHeight="1" s="1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 ht="15.75" customHeight="1" s="1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 ht="15.75" customHeight="1" s="1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 ht="15.75" customHeight="1" s="1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 ht="15.75" customHeight="1" s="1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 ht="15.75" customHeight="1" s="1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 ht="15.75" customHeight="1" s="1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 ht="15.75" customHeight="1" s="1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15.75" customHeight="1" s="1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 ht="15.75" customHeight="1" s="1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 ht="15.75" customHeight="1" s="1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 ht="15.75" customHeight="1" s="1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 ht="15.75" customHeight="1" s="1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 ht="15.75" customHeight="1" s="1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 ht="15.75" customHeight="1" s="1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 ht="15.75" customHeight="1" s="1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 ht="15.75" customHeight="1" s="1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 ht="15.75" customHeight="1" s="1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 ht="15.75" customHeight="1" s="1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 ht="15.75" customHeight="1" s="1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 ht="15.75" customHeight="1" s="1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 ht="15.75" customHeight="1" s="1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 ht="15.75" customHeight="1" s="1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 ht="15.75" customHeight="1" s="1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 ht="15.75" customHeight="1" s="1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 ht="15.75" customHeight="1" s="1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 ht="15.75" customHeight="1" s="1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 ht="15.75" customHeight="1" s="1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 ht="15.75" customHeight="1" s="1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11" min="1" max="1"/>
    <col width="14" customWidth="1" style="11" min="2" max="2"/>
    <col width="13" customWidth="1" style="11" min="3" max="3"/>
    <col width="11" customWidth="1" style="11" min="4" max="11"/>
    <col width="11" customWidth="1" style="11" min="5" max="5"/>
    <col width="12" customWidth="1" style="11" min="6" max="6"/>
    <col width="11" customWidth="1" style="11" min="7" max="7"/>
    <col width="13" customWidth="1" style="11" min="8" max="8"/>
    <col width="3" customWidth="1" style="11" min="9" max="9"/>
    <col width="12" customWidth="1" style="11" min="10" max="10"/>
    <col width="10" customWidth="1" style="11" min="11" max="11"/>
  </cols>
  <sheetData>
    <row r="1" ht="30" customHeight="1" s="11">
      <c r="A1" s="12" t="inlineStr">
        <is>
          <t>LOS INTELECTUALES S.A.</t>
        </is>
      </c>
      <c r="I1" s="8" t="n"/>
      <c r="J1" s="13" t="inlineStr">
        <is>
          <t>PARÁMETROS</t>
        </is>
      </c>
    </row>
    <row r="2" ht="22" customHeight="1" s="11">
      <c r="A2" s="14" t="inlineStr">
        <is>
          <t>REPORTE DE VENTAS</t>
        </is>
      </c>
      <c r="J2" s="15" t="inlineStr">
        <is>
          <t>IVA %</t>
        </is>
      </c>
      <c r="K2" s="16" t="n">
        <v>0.15</v>
      </c>
    </row>
    <row r="3" ht="20" customHeight="1" s="11">
      <c r="A3" s="17" t="inlineStr">
        <is>
          <t>PRIMER TRIMESTRE 2026</t>
        </is>
      </c>
      <c r="J3" s="18" t="inlineStr">
        <is>
          <t>(Ecuador 2026)</t>
        </is>
      </c>
    </row>
    <row r="4">
      <c r="A4" s="0" t="n"/>
      <c r="B4" s="0" t="n"/>
      <c r="D4" s="8" t="n"/>
      <c r="E4" s="0" t="n"/>
    </row>
    <row r="5" ht="32" customHeight="1" s="11">
      <c r="A5" s="19" t="inlineStr">
        <is>
          <t>Mes</t>
        </is>
      </c>
      <c r="B5" s="19" t="inlineStr">
        <is>
          <t>Producto</t>
        </is>
      </c>
      <c r="C5" s="19" t="inlineStr">
        <is>
          <t>Categoría</t>
        </is>
      </c>
      <c r="D5" s="19" t="inlineStr">
        <is>
          <t>Cantidad
Vendida</t>
        </is>
      </c>
      <c r="E5" s="19" t="inlineStr">
        <is>
          <t>Precio
Unitario</t>
        </is>
      </c>
      <c r="F5" s="19" t="inlineStr">
        <is>
          <t>Subtotal</t>
        </is>
      </c>
      <c r="G5" s="19" t="inlineStr">
        <is>
          <t>IVA</t>
        </is>
      </c>
      <c r="H5" s="19" t="inlineStr">
        <is>
          <t>Total
Venta</t>
        </is>
      </c>
    </row>
    <row r="6">
      <c r="A6" s="20" t="inlineStr">
        <is>
          <t>Enero</t>
        </is>
      </c>
      <c r="B6" s="20" t="inlineStr">
        <is>
          <t>Impresora</t>
        </is>
      </c>
      <c r="C6" s="20" t="inlineStr">
        <is>
          <t>Tecnología</t>
        </is>
      </c>
      <c r="D6" s="21" t="n">
        <v>10</v>
      </c>
      <c r="E6" s="22" t="n">
        <v>75</v>
      </c>
      <c r="F6" s="22">
        <f>D6*E6</f>
        <v>750.0</v>
      </c>
      <c r="G6" s="22">
        <f>F6*$K$2</f>
        <v>112.5</v>
      </c>
      <c r="H6" s="22">
        <f>F6+G6</f>
        <v>862.5</v>
      </c>
    </row>
    <row r="7">
      <c r="A7" s="23" t="inlineStr">
        <is>
          <t>Enero</t>
        </is>
      </c>
      <c r="B7" s="23" t="inlineStr">
        <is>
          <t>Toner</t>
        </is>
      </c>
      <c r="C7" s="23" t="inlineStr">
        <is>
          <t>Tecnología</t>
        </is>
      </c>
      <c r="D7" s="24" t="n">
        <v>11</v>
      </c>
      <c r="E7" s="25" t="n">
        <v>15</v>
      </c>
      <c r="F7" s="25">
        <f>D7*E7</f>
        <v>165.0</v>
      </c>
      <c r="G7" s="25">
        <f>F7*$K$2</f>
        <v>24.75</v>
      </c>
      <c r="H7" s="25">
        <f>F7+G7</f>
        <v>189.75</v>
      </c>
    </row>
    <row r="8">
      <c r="A8" s="20" t="inlineStr">
        <is>
          <t>Enero</t>
        </is>
      </c>
      <c r="B8" s="20" t="inlineStr">
        <is>
          <t>Router</t>
        </is>
      </c>
      <c r="C8" s="20" t="inlineStr">
        <is>
          <t>Tecnología</t>
        </is>
      </c>
      <c r="D8" s="21" t="n">
        <v>11</v>
      </c>
      <c r="E8" s="22" t="n">
        <v>15</v>
      </c>
      <c r="F8" s="22">
        <f>D8*E8</f>
        <v>165.0</v>
      </c>
      <c r="G8" s="22">
        <f>F8*$K$2</f>
        <v>24.75</v>
      </c>
      <c r="H8" s="22">
        <f>F8+G8</f>
        <v>189.75</v>
      </c>
    </row>
    <row r="9">
      <c r="A9" s="23" t="inlineStr">
        <is>
          <t>Febrero</t>
        </is>
      </c>
      <c r="B9" s="23" t="inlineStr">
        <is>
          <t>Tinta</t>
        </is>
      </c>
      <c r="C9" s="23" t="inlineStr">
        <is>
          <t>Tecnología</t>
        </is>
      </c>
      <c r="D9" s="24" t="n">
        <v>15</v>
      </c>
      <c r="E9" s="25" t="n">
        <v>50</v>
      </c>
      <c r="F9" s="25">
        <f>D9*E9</f>
        <v>750.0</v>
      </c>
      <c r="G9" s="25">
        <f>F9*$K$2</f>
        <v>112.5</v>
      </c>
      <c r="H9" s="25">
        <f>F9+G9</f>
        <v>862.5</v>
      </c>
    </row>
    <row r="10">
      <c r="A10" s="20" t="inlineStr">
        <is>
          <t>Marzo</t>
        </is>
      </c>
      <c r="B10" s="20" t="inlineStr">
        <is>
          <t>Tinta</t>
        </is>
      </c>
      <c r="C10" s="20" t="inlineStr">
        <is>
          <t>Tecnología</t>
        </is>
      </c>
      <c r="D10" s="21" t="n">
        <v>18</v>
      </c>
      <c r="E10" s="22" t="n">
        <v>50</v>
      </c>
      <c r="F10" s="22">
        <f>D10*E10</f>
        <v>900.0</v>
      </c>
      <c r="G10" s="22">
        <f>F10*$K$2</f>
        <v>135</v>
      </c>
      <c r="H10" s="22">
        <f>F10+G10</f>
        <v>1035</v>
      </c>
    </row>
    <row r="11">
      <c r="A11" s="23" t="inlineStr">
        <is>
          <t>Marzo</t>
        </is>
      </c>
      <c r="B11" s="23" t="inlineStr">
        <is>
          <t>Carpeta</t>
        </is>
      </c>
      <c r="C11" s="23" t="inlineStr">
        <is>
          <t>Papelería</t>
        </is>
      </c>
      <c r="D11" s="24" t="n">
        <v>19</v>
      </c>
      <c r="E11" s="25" t="n">
        <v>10</v>
      </c>
      <c r="F11" s="25">
        <f>D11*E11</f>
        <v>190.0</v>
      </c>
      <c r="G11" s="25">
        <f>F11*$K$2</f>
        <v>28.5</v>
      </c>
      <c r="H11" s="25">
        <f>F11+G11</f>
        <v>218.5</v>
      </c>
    </row>
    <row r="12">
      <c r="A12" s="20" t="inlineStr">
        <is>
          <t>Febrero</t>
        </is>
      </c>
      <c r="B12" s="20" t="inlineStr">
        <is>
          <t>Lápiz</t>
        </is>
      </c>
      <c r="C12" s="20" t="inlineStr">
        <is>
          <t>Papelería</t>
        </is>
      </c>
      <c r="D12" s="21" t="n">
        <v>15</v>
      </c>
      <c r="E12" s="22" t="n">
        <v>5</v>
      </c>
      <c r="F12" s="22">
        <f>D12*E12</f>
        <v>75.0</v>
      </c>
      <c r="G12" s="22">
        <f>F12*$K$2</f>
        <v>11.25</v>
      </c>
      <c r="H12" s="22">
        <f>F12+G12</f>
        <v>86.25</v>
      </c>
    </row>
    <row r="13">
      <c r="A13" s="23" t="inlineStr">
        <is>
          <t>Enero</t>
        </is>
      </c>
      <c r="B13" s="23" t="inlineStr">
        <is>
          <t>Router</t>
        </is>
      </c>
      <c r="C13" s="23" t="inlineStr">
        <is>
          <t>Tecnología</t>
        </is>
      </c>
      <c r="D13" s="24" t="n">
        <v>1</v>
      </c>
      <c r="E13" s="25" t="n">
        <v>100</v>
      </c>
      <c r="F13" s="25">
        <f>D13*E13</f>
        <v>100.0</v>
      </c>
      <c r="G13" s="25">
        <f>F13*$K$2</f>
        <v>15</v>
      </c>
      <c r="H13" s="25">
        <f>F13+G13</f>
        <v>115</v>
      </c>
    </row>
    <row r="14">
      <c r="A14" s="20" t="inlineStr">
        <is>
          <t>Enero</t>
        </is>
      </c>
      <c r="B14" s="20" t="inlineStr">
        <is>
          <t>Tinta</t>
        </is>
      </c>
      <c r="C14" s="20" t="inlineStr">
        <is>
          <t>Tecnología</t>
        </is>
      </c>
      <c r="D14" s="21" t="n">
        <v>9</v>
      </c>
      <c r="E14" s="22" t="n">
        <v>100</v>
      </c>
      <c r="F14" s="22">
        <f>D14*E14</f>
        <v>900.0</v>
      </c>
      <c r="G14" s="22">
        <f>F14*$K$2</f>
        <v>135</v>
      </c>
      <c r="H14" s="22">
        <f>F14+G14</f>
        <v>1035</v>
      </c>
    </row>
    <row r="15">
      <c r="A15" s="23" t="inlineStr">
        <is>
          <t>Febrero</t>
        </is>
      </c>
      <c r="B15" s="23" t="inlineStr">
        <is>
          <t>Tinta</t>
        </is>
      </c>
      <c r="C15" s="23" t="inlineStr">
        <is>
          <t>Tecnología</t>
        </is>
      </c>
      <c r="D15" s="24" t="n">
        <v>8</v>
      </c>
      <c r="E15" s="25" t="n">
        <v>75</v>
      </c>
      <c r="F15" s="25">
        <f>D15*E15</f>
        <v>600.0</v>
      </c>
      <c r="G15" s="25">
        <f>F15*$K$2</f>
        <v>90</v>
      </c>
      <c r="H15" s="25">
        <f>F15+G15</f>
        <v>690</v>
      </c>
    </row>
    <row r="16">
      <c r="A16" s="20" t="inlineStr">
        <is>
          <t>Febrero</t>
        </is>
      </c>
      <c r="B16" s="20" t="inlineStr">
        <is>
          <t>Toner</t>
        </is>
      </c>
      <c r="C16" s="20" t="inlineStr">
        <is>
          <t>Tecnología</t>
        </is>
      </c>
      <c r="D16" s="21" t="n">
        <v>5</v>
      </c>
      <c r="E16" s="22" t="n">
        <v>75</v>
      </c>
      <c r="F16" s="22">
        <f>D16*E16</f>
        <v>375.0</v>
      </c>
      <c r="G16" s="22">
        <f>F16*$K$2</f>
        <v>56.25</v>
      </c>
      <c r="H16" s="22">
        <f>F16+G16</f>
        <v>431.25</v>
      </c>
    </row>
    <row r="17">
      <c r="A17" s="23" t="inlineStr">
        <is>
          <t>Marzo</t>
        </is>
      </c>
      <c r="B17" s="23" t="inlineStr">
        <is>
          <t>Escritorio</t>
        </is>
      </c>
      <c r="C17" s="23" t="inlineStr">
        <is>
          <t>Oficina</t>
        </is>
      </c>
      <c r="D17" s="24" t="n">
        <v>16</v>
      </c>
      <c r="E17" s="25" t="n">
        <v>75</v>
      </c>
      <c r="F17" s="25">
        <f>D17*E17</f>
        <v>1200.0</v>
      </c>
      <c r="G17" s="25">
        <f>F17*$K$2</f>
        <v>180</v>
      </c>
      <c r="H17" s="25">
        <f>F17+G17</f>
        <v>1380</v>
      </c>
    </row>
    <row r="18">
      <c r="A18" s="20" t="inlineStr">
        <is>
          <t>Enero</t>
        </is>
      </c>
      <c r="B18" s="20" t="inlineStr">
        <is>
          <t>Calculadora</t>
        </is>
      </c>
      <c r="C18" s="20" t="inlineStr">
        <is>
          <t>Oficina</t>
        </is>
      </c>
      <c r="D18" s="21" t="n">
        <v>13</v>
      </c>
      <c r="E18" s="22" t="n">
        <v>50</v>
      </c>
      <c r="F18" s="22">
        <f>D18*E18</f>
        <v>650.0</v>
      </c>
      <c r="G18" s="22">
        <f>F18*$K$2</f>
        <v>97.5</v>
      </c>
      <c r="H18" s="22">
        <f>F18+G18</f>
        <v>747.5</v>
      </c>
    </row>
    <row r="19">
      <c r="A19" s="23" t="inlineStr">
        <is>
          <t>Marzo</t>
        </is>
      </c>
      <c r="B19" s="23" t="inlineStr">
        <is>
          <t>Cuadernos</t>
        </is>
      </c>
      <c r="C19" s="23" t="inlineStr">
        <is>
          <t>Papelería</t>
        </is>
      </c>
      <c r="D19" s="24" t="n">
        <v>9</v>
      </c>
      <c r="E19" s="25" t="n">
        <v>15</v>
      </c>
      <c r="F19" s="25">
        <f>D19*E19</f>
        <v>135.0</v>
      </c>
      <c r="G19" s="25">
        <f>F19*$K$2</f>
        <v>20.25</v>
      </c>
      <c r="H19" s="25">
        <f>F19+G19</f>
        <v>155.25</v>
      </c>
    </row>
    <row r="20">
      <c r="A20" s="20" t="inlineStr">
        <is>
          <t>Febrero</t>
        </is>
      </c>
      <c r="B20" s="20" t="inlineStr">
        <is>
          <t>Router</t>
        </is>
      </c>
      <c r="C20" s="20" t="inlineStr">
        <is>
          <t>Tecnología</t>
        </is>
      </c>
      <c r="D20" s="21" t="n">
        <v>17</v>
      </c>
      <c r="E20" s="22" t="n">
        <v>75</v>
      </c>
      <c r="F20" s="22">
        <f>D20*E20</f>
        <v>1275.0</v>
      </c>
      <c r="G20" s="22">
        <f>F20*$K$2</f>
        <v>191.25</v>
      </c>
      <c r="H20" s="22">
        <f>F20+G20</f>
        <v>1466.25</v>
      </c>
    </row>
    <row r="21" ht="15.75" customHeight="1" s="11">
      <c r="A21" s="23" t="inlineStr">
        <is>
          <t>Enero</t>
        </is>
      </c>
      <c r="B21" s="23" t="inlineStr">
        <is>
          <t>Calculadora</t>
        </is>
      </c>
      <c r="C21" s="23" t="inlineStr">
        <is>
          <t>Oficina</t>
        </is>
      </c>
      <c r="D21" s="24" t="n">
        <v>10</v>
      </c>
      <c r="E21" s="25" t="n">
        <v>5</v>
      </c>
      <c r="F21" s="25">
        <f>D21*E21</f>
        <v>50.0</v>
      </c>
      <c r="G21" s="25">
        <f>F21*$K$2</f>
        <v>7.5</v>
      </c>
      <c r="H21" s="25">
        <f>F21+G21</f>
        <v>57.5</v>
      </c>
    </row>
    <row r="22" ht="15.75" customHeight="1" s="11">
      <c r="A22" s="20" t="inlineStr">
        <is>
          <t>Febrero</t>
        </is>
      </c>
      <c r="B22" s="20" t="inlineStr">
        <is>
          <t>Calculadora</t>
        </is>
      </c>
      <c r="C22" s="20" t="inlineStr">
        <is>
          <t>Oficina</t>
        </is>
      </c>
      <c r="D22" s="21" t="n">
        <v>20</v>
      </c>
      <c r="E22" s="22" t="n">
        <v>5</v>
      </c>
      <c r="F22" s="22">
        <f>D22*E22</f>
        <v>100.0</v>
      </c>
      <c r="G22" s="22">
        <f>F22*$K$2</f>
        <v>15</v>
      </c>
      <c r="H22" s="22">
        <f>F22+G22</f>
        <v>115</v>
      </c>
    </row>
    <row r="23" ht="15.75" customHeight="1" s="11">
      <c r="A23" s="23" t="inlineStr">
        <is>
          <t>Febrero</t>
        </is>
      </c>
      <c r="B23" s="23" t="inlineStr">
        <is>
          <t>Carpeta</t>
        </is>
      </c>
      <c r="C23" s="23" t="inlineStr">
        <is>
          <t>Papelería</t>
        </is>
      </c>
      <c r="D23" s="24" t="n">
        <v>13</v>
      </c>
      <c r="E23" s="25" t="n">
        <v>25</v>
      </c>
      <c r="F23" s="25">
        <f>D23*E23</f>
        <v>325.0</v>
      </c>
      <c r="G23" s="25">
        <f>F23*$K$2</f>
        <v>48.75</v>
      </c>
      <c r="H23" s="25">
        <f>F23+G23</f>
        <v>373.75</v>
      </c>
    </row>
    <row r="24" ht="15.75" customHeight="1" s="11">
      <c r="A24" s="20" t="inlineStr">
        <is>
          <t>Febrero</t>
        </is>
      </c>
      <c r="B24" s="20" t="inlineStr">
        <is>
          <t>Toner</t>
        </is>
      </c>
      <c r="C24" s="20" t="inlineStr">
        <is>
          <t>Tecnología</t>
        </is>
      </c>
      <c r="D24" s="21" t="n">
        <v>1</v>
      </c>
      <c r="E24" s="22" t="n">
        <v>20</v>
      </c>
      <c r="F24" s="22">
        <f>D24*E24</f>
        <v>20.0</v>
      </c>
      <c r="G24" s="22">
        <f>F24*$K$2</f>
        <v>3</v>
      </c>
      <c r="H24" s="22">
        <f>F24+G24</f>
        <v>23</v>
      </c>
    </row>
    <row r="25" ht="15.75" customHeight="1" s="11">
      <c r="A25" s="23" t="inlineStr">
        <is>
          <t>Febrero</t>
        </is>
      </c>
      <c r="B25" s="23" t="inlineStr">
        <is>
          <t>Impresora</t>
        </is>
      </c>
      <c r="C25" s="23" t="inlineStr">
        <is>
          <t>Tecnología</t>
        </is>
      </c>
      <c r="D25" s="24" t="n">
        <v>12</v>
      </c>
      <c r="E25" s="25" t="n">
        <v>25</v>
      </c>
      <c r="F25" s="25">
        <f>D25*E25</f>
        <v>300.0</v>
      </c>
      <c r="G25" s="25">
        <f>F25*$K$2</f>
        <v>45</v>
      </c>
      <c r="H25" s="25">
        <f>F25+G25</f>
        <v>345</v>
      </c>
    </row>
    <row r="26" ht="15.75" customHeight="1" s="11">
      <c r="A26" s="20" t="inlineStr">
        <is>
          <t>Enero</t>
        </is>
      </c>
      <c r="B26" s="20" t="inlineStr">
        <is>
          <t>Tinta</t>
        </is>
      </c>
      <c r="C26" s="20" t="inlineStr">
        <is>
          <t>Tecnología</t>
        </is>
      </c>
      <c r="D26" s="21" t="n">
        <v>16</v>
      </c>
      <c r="E26" s="22" t="n">
        <v>20</v>
      </c>
      <c r="F26" s="22">
        <f>D26*E26</f>
        <v>320.0</v>
      </c>
      <c r="G26" s="22">
        <f>F26*$K$2</f>
        <v>48</v>
      </c>
      <c r="H26" s="22">
        <f>F26+G26</f>
        <v>368</v>
      </c>
    </row>
    <row r="27" ht="15.75" customHeight="1" s="11">
      <c r="A27" s="23" t="inlineStr">
        <is>
          <t>Febrero</t>
        </is>
      </c>
      <c r="B27" s="23" t="inlineStr">
        <is>
          <t>Lápiz</t>
        </is>
      </c>
      <c r="C27" s="23" t="inlineStr">
        <is>
          <t>Papelería</t>
        </is>
      </c>
      <c r="D27" s="24" t="n">
        <v>20</v>
      </c>
      <c r="E27" s="25" t="n">
        <v>20</v>
      </c>
      <c r="F27" s="25">
        <f>D27*E27</f>
        <v>400.0</v>
      </c>
      <c r="G27" s="25">
        <f>F27*$K$2</f>
        <v>60</v>
      </c>
      <c r="H27" s="25">
        <f>F27+G27</f>
        <v>460</v>
      </c>
    </row>
    <row r="28" ht="15.75" customHeight="1" s="11">
      <c r="A28" s="20" t="inlineStr">
        <is>
          <t>Marzo</t>
        </is>
      </c>
      <c r="B28" s="20" t="inlineStr">
        <is>
          <t>Tinta</t>
        </is>
      </c>
      <c r="C28" s="20" t="inlineStr">
        <is>
          <t>Tecnología</t>
        </is>
      </c>
      <c r="D28" s="21" t="n">
        <v>15</v>
      </c>
      <c r="E28" s="22" t="n">
        <v>20</v>
      </c>
      <c r="F28" s="22">
        <f>D28*E28</f>
        <v>300.0</v>
      </c>
      <c r="G28" s="22">
        <f>F28*$K$2</f>
        <v>45</v>
      </c>
      <c r="H28" s="22">
        <f>F28+G28</f>
        <v>345</v>
      </c>
    </row>
    <row r="29" ht="15.75" customHeight="1" s="11">
      <c r="A29" s="23" t="inlineStr">
        <is>
          <t>Enero</t>
        </is>
      </c>
      <c r="B29" s="23" t="inlineStr">
        <is>
          <t>Cuadernos</t>
        </is>
      </c>
      <c r="C29" s="23" t="inlineStr">
        <is>
          <t>Papelería</t>
        </is>
      </c>
      <c r="D29" s="24" t="n">
        <v>14</v>
      </c>
      <c r="E29" s="25" t="n">
        <v>50</v>
      </c>
      <c r="F29" s="25">
        <f>D29*E29</f>
        <v>700.0</v>
      </c>
      <c r="G29" s="25">
        <f>F29*$K$2</f>
        <v>105</v>
      </c>
      <c r="H29" s="25">
        <f>F29+G29</f>
        <v>805</v>
      </c>
    </row>
    <row r="30" ht="15.75" customHeight="1" s="11">
      <c r="A30" s="20" t="inlineStr">
        <is>
          <t>Enero</t>
        </is>
      </c>
      <c r="B30" s="20" t="inlineStr">
        <is>
          <t>Escritorio</t>
        </is>
      </c>
      <c r="C30" s="20" t="inlineStr">
        <is>
          <t>Oficina</t>
        </is>
      </c>
      <c r="D30" s="21" t="n">
        <v>14</v>
      </c>
      <c r="E30" s="22" t="n">
        <v>50</v>
      </c>
      <c r="F30" s="22">
        <f>D30*E30</f>
        <v>700.0</v>
      </c>
      <c r="G30" s="22">
        <f>F30*$K$2</f>
        <v>105</v>
      </c>
      <c r="H30" s="22">
        <f>F30+G30</f>
        <v>805</v>
      </c>
    </row>
    <row r="31" ht="15.75" customHeight="1" s="11">
      <c r="A31" s="23" t="inlineStr">
        <is>
          <t>Marzo</t>
        </is>
      </c>
      <c r="B31" s="23" t="inlineStr">
        <is>
          <t>Escritorio</t>
        </is>
      </c>
      <c r="C31" s="23" t="inlineStr">
        <is>
          <t>Oficina</t>
        </is>
      </c>
      <c r="D31" s="24" t="n">
        <v>18</v>
      </c>
      <c r="E31" s="25" t="n">
        <v>10</v>
      </c>
      <c r="F31" s="25">
        <f>D31*E31</f>
        <v>180.0</v>
      </c>
      <c r="G31" s="25">
        <f>F31*$K$2</f>
        <v>27</v>
      </c>
      <c r="H31" s="25">
        <f>F31+G31</f>
        <v>207</v>
      </c>
    </row>
    <row r="32" ht="15.75" customHeight="1" s="11">
      <c r="A32" s="20" t="inlineStr">
        <is>
          <t>Febrero</t>
        </is>
      </c>
      <c r="B32" s="20" t="inlineStr">
        <is>
          <t>Tinta</t>
        </is>
      </c>
      <c r="C32" s="20" t="inlineStr">
        <is>
          <t>Tecnología</t>
        </is>
      </c>
      <c r="D32" s="21" t="n">
        <v>2</v>
      </c>
      <c r="E32" s="22" t="n">
        <v>10</v>
      </c>
      <c r="F32" s="22">
        <f>D32*E32</f>
        <v>20.0</v>
      </c>
      <c r="G32" s="22">
        <f>F32*$K$2</f>
        <v>3</v>
      </c>
      <c r="H32" s="22">
        <f>F32+G32</f>
        <v>23</v>
      </c>
    </row>
    <row r="33" ht="15.75" customHeight="1" s="11">
      <c r="A33" s="23" t="inlineStr">
        <is>
          <t>Febrero</t>
        </is>
      </c>
      <c r="B33" s="23" t="inlineStr">
        <is>
          <t>Cuadernos</t>
        </is>
      </c>
      <c r="C33" s="23" t="inlineStr">
        <is>
          <t>Papelería</t>
        </is>
      </c>
      <c r="D33" s="24" t="n">
        <v>12</v>
      </c>
      <c r="E33" s="25" t="n">
        <v>100</v>
      </c>
      <c r="F33" s="25">
        <f>D33*E33</f>
        <v>1200.0</v>
      </c>
      <c r="G33" s="25">
        <f>F33*$K$2</f>
        <v>180</v>
      </c>
      <c r="H33" s="25">
        <f>F33+G33</f>
        <v>1380</v>
      </c>
    </row>
    <row r="34" ht="15.75" customHeight="1" s="11">
      <c r="A34" s="20" t="inlineStr">
        <is>
          <t>Febrero</t>
        </is>
      </c>
      <c r="B34" s="20" t="inlineStr">
        <is>
          <t>Toner</t>
        </is>
      </c>
      <c r="C34" s="20" t="inlineStr">
        <is>
          <t>Tecnología</t>
        </is>
      </c>
      <c r="D34" s="21" t="n">
        <v>19</v>
      </c>
      <c r="E34" s="22" t="n">
        <v>15</v>
      </c>
      <c r="F34" s="22">
        <f>D34*E34</f>
        <v>285.0</v>
      </c>
      <c r="G34" s="22">
        <f>F34*$K$2</f>
        <v>42.75</v>
      </c>
      <c r="H34" s="22">
        <f>F34+G34</f>
        <v>327.75</v>
      </c>
    </row>
    <row r="35" ht="15.75" customHeight="1" s="11">
      <c r="A35" s="23" t="inlineStr">
        <is>
          <t>Marzo</t>
        </is>
      </c>
      <c r="B35" s="23" t="inlineStr">
        <is>
          <t>Carpeta</t>
        </is>
      </c>
      <c r="C35" s="23" t="inlineStr">
        <is>
          <t>Papelería</t>
        </is>
      </c>
      <c r="D35" s="24" t="n">
        <v>9</v>
      </c>
      <c r="E35" s="25" t="n">
        <v>50</v>
      </c>
      <c r="F35" s="25">
        <f>D35*E35</f>
        <v>450.0</v>
      </c>
      <c r="G35" s="25">
        <f>F35*$K$2</f>
        <v>67.5</v>
      </c>
      <c r="H35" s="25">
        <f>F35+G35</f>
        <v>517.5</v>
      </c>
    </row>
    <row r="36" ht="15.75" customHeight="1" s="11">
      <c r="A36" s="20" t="inlineStr">
        <is>
          <t>Marzo</t>
        </is>
      </c>
      <c r="B36" s="20" t="inlineStr">
        <is>
          <t>Monitor</t>
        </is>
      </c>
      <c r="C36" s="20" t="inlineStr">
        <is>
          <t>Tecnología</t>
        </is>
      </c>
      <c r="D36" s="21" t="n">
        <v>2</v>
      </c>
      <c r="E36" s="22" t="n">
        <v>15</v>
      </c>
      <c r="F36" s="22">
        <f>D36*E36</f>
        <v>30.0</v>
      </c>
      <c r="G36" s="22">
        <f>F36*$K$2</f>
        <v>4.5</v>
      </c>
      <c r="H36" s="22">
        <f>F36+G36</f>
        <v>34.5</v>
      </c>
    </row>
    <row r="37" ht="15.75" customHeight="1" s="11">
      <c r="A37" s="23" t="inlineStr">
        <is>
          <t>Enero</t>
        </is>
      </c>
      <c r="B37" s="23" t="inlineStr">
        <is>
          <t>Cuadernos</t>
        </is>
      </c>
      <c r="C37" s="23" t="inlineStr">
        <is>
          <t>Papelería</t>
        </is>
      </c>
      <c r="D37" s="24" t="n">
        <v>3</v>
      </c>
      <c r="E37" s="25" t="n">
        <v>20</v>
      </c>
      <c r="F37" s="25">
        <f>D37*E37</f>
        <v>60.0</v>
      </c>
      <c r="G37" s="25">
        <f>F37*$K$2</f>
        <v>9</v>
      </c>
      <c r="H37" s="25">
        <f>F37+G37</f>
        <v>69</v>
      </c>
    </row>
    <row r="38" ht="15.75" customHeight="1" s="11">
      <c r="A38" s="20" t="inlineStr">
        <is>
          <t>Febrero</t>
        </is>
      </c>
      <c r="B38" s="20" t="inlineStr">
        <is>
          <t>Router</t>
        </is>
      </c>
      <c r="C38" s="20" t="inlineStr">
        <is>
          <t>Tecnología</t>
        </is>
      </c>
      <c r="D38" s="21" t="n">
        <v>9</v>
      </c>
      <c r="E38" s="22" t="n">
        <v>15</v>
      </c>
      <c r="F38" s="22">
        <f>D38*E38</f>
        <v>135.0</v>
      </c>
      <c r="G38" s="22">
        <f>F38*$K$2</f>
        <v>20.25</v>
      </c>
      <c r="H38" s="22">
        <f>F38+G38</f>
        <v>155.25</v>
      </c>
    </row>
    <row r="39" ht="15.75" customHeight="1" s="11">
      <c r="A39" s="23" t="inlineStr">
        <is>
          <t>Marzo</t>
        </is>
      </c>
      <c r="B39" s="23" t="inlineStr">
        <is>
          <t>Carpeta</t>
        </is>
      </c>
      <c r="C39" s="23" t="inlineStr">
        <is>
          <t>Papelería</t>
        </is>
      </c>
      <c r="D39" s="24" t="n">
        <v>1</v>
      </c>
      <c r="E39" s="25" t="n">
        <v>25</v>
      </c>
      <c r="F39" s="25">
        <f>D39*E39</f>
        <v>25.0</v>
      </c>
      <c r="G39" s="25">
        <f>F39*$K$2</f>
        <v>3.75</v>
      </c>
      <c r="H39" s="25">
        <f>F39+G39</f>
        <v>28.75</v>
      </c>
    </row>
    <row r="40" ht="15.75" customHeight="1" s="11">
      <c r="A40" s="20" t="inlineStr">
        <is>
          <t>Enero</t>
        </is>
      </c>
      <c r="B40" s="20" t="inlineStr">
        <is>
          <t>Lápiz</t>
        </is>
      </c>
      <c r="C40" s="20" t="inlineStr">
        <is>
          <t>Papelería</t>
        </is>
      </c>
      <c r="D40" s="21" t="n">
        <v>13</v>
      </c>
      <c r="E40" s="22" t="n">
        <v>100</v>
      </c>
      <c r="F40" s="22">
        <f>D40*E40</f>
        <v>1300.0</v>
      </c>
      <c r="G40" s="22">
        <f>F40*$K$2</f>
        <v>195</v>
      </c>
      <c r="H40" s="22">
        <f>F40+G40</f>
        <v>1495</v>
      </c>
    </row>
    <row r="41" ht="15.75" customHeight="1" s="11">
      <c r="A41" s="23" t="inlineStr">
        <is>
          <t>Enero</t>
        </is>
      </c>
      <c r="B41" s="23" t="inlineStr">
        <is>
          <t>Monitor</t>
        </is>
      </c>
      <c r="C41" s="23" t="inlineStr">
        <is>
          <t>Tecnología</t>
        </is>
      </c>
      <c r="D41" s="24" t="n">
        <v>3</v>
      </c>
      <c r="E41" s="25" t="n">
        <v>5</v>
      </c>
      <c r="F41" s="25">
        <f>D41*E41</f>
        <v>15.0</v>
      </c>
      <c r="G41" s="25">
        <f>F41*$K$2</f>
        <v>2.25</v>
      </c>
      <c r="H41" s="25">
        <f>F41+G41</f>
        <v>17.25</v>
      </c>
    </row>
    <row r="42" ht="15.75" customHeight="1" s="11">
      <c r="A42" s="20" t="inlineStr">
        <is>
          <t>Febrero</t>
        </is>
      </c>
      <c r="B42" s="20" t="inlineStr">
        <is>
          <t>Router</t>
        </is>
      </c>
      <c r="C42" s="20" t="inlineStr">
        <is>
          <t>Tecnología</t>
        </is>
      </c>
      <c r="D42" s="21" t="n">
        <v>9</v>
      </c>
      <c r="E42" s="22" t="n">
        <v>15</v>
      </c>
      <c r="F42" s="22">
        <f>D42*E42</f>
        <v>135.0</v>
      </c>
      <c r="G42" s="22">
        <f>F42*$K$2</f>
        <v>20.25</v>
      </c>
      <c r="H42" s="22">
        <f>F42+G42</f>
        <v>155.25</v>
      </c>
    </row>
    <row r="43" ht="15.75" customHeight="1" s="11">
      <c r="A43" s="23" t="inlineStr">
        <is>
          <t>Enero</t>
        </is>
      </c>
      <c r="B43" s="23" t="inlineStr">
        <is>
          <t>Cuadernos</t>
        </is>
      </c>
      <c r="C43" s="23" t="inlineStr">
        <is>
          <t>Papelería</t>
        </is>
      </c>
      <c r="D43" s="24" t="n">
        <v>15</v>
      </c>
      <c r="E43" s="25" t="n">
        <v>20</v>
      </c>
      <c r="F43" s="25">
        <f>D43*E43</f>
        <v>300.0</v>
      </c>
      <c r="G43" s="25">
        <f>F43*$K$2</f>
        <v>45</v>
      </c>
      <c r="H43" s="25">
        <f>F43+G43</f>
        <v>345</v>
      </c>
    </row>
    <row r="44" ht="15.75" customHeight="1" s="11">
      <c r="A44" s="20" t="inlineStr">
        <is>
          <t>Marzo</t>
        </is>
      </c>
      <c r="B44" s="20" t="inlineStr">
        <is>
          <t>Carpeta</t>
        </is>
      </c>
      <c r="C44" s="20" t="inlineStr">
        <is>
          <t>Papelería</t>
        </is>
      </c>
      <c r="D44" s="21" t="n">
        <v>9</v>
      </c>
      <c r="E44" s="22" t="n">
        <v>15</v>
      </c>
      <c r="F44" s="22">
        <f>D44*E44</f>
        <v>135.0</v>
      </c>
      <c r="G44" s="22">
        <f>F44*$K$2</f>
        <v>20.25</v>
      </c>
      <c r="H44" s="22">
        <f>F44+G44</f>
        <v>155.25</v>
      </c>
    </row>
    <row r="45" ht="15.75" customHeight="1" s="11">
      <c r="A45" s="23" t="inlineStr">
        <is>
          <t>Enero</t>
        </is>
      </c>
      <c r="B45" s="23" t="inlineStr">
        <is>
          <t>Router</t>
        </is>
      </c>
      <c r="C45" s="23" t="inlineStr">
        <is>
          <t>Tecnología</t>
        </is>
      </c>
      <c r="D45" s="24" t="n">
        <v>2</v>
      </c>
      <c r="E45" s="25" t="n">
        <v>5</v>
      </c>
      <c r="F45" s="25">
        <f>D45*E45</f>
        <v>10.0</v>
      </c>
      <c r="G45" s="25">
        <f>F45*$K$2</f>
        <v>1.5</v>
      </c>
      <c r="H45" s="25">
        <f>F45+G45</f>
        <v>11.5</v>
      </c>
    </row>
    <row r="46" ht="15.75" customHeight="1" s="11">
      <c r="A46" s="20" t="inlineStr">
        <is>
          <t>Marzo</t>
        </is>
      </c>
      <c r="B46" s="20" t="inlineStr">
        <is>
          <t>Router</t>
        </is>
      </c>
      <c r="C46" s="20" t="inlineStr">
        <is>
          <t>Tecnología</t>
        </is>
      </c>
      <c r="D46" s="21" t="n">
        <v>12</v>
      </c>
      <c r="E46" s="22" t="n">
        <v>25</v>
      </c>
      <c r="F46" s="22">
        <f>D46*E46</f>
        <v>300.0</v>
      </c>
      <c r="G46" s="22">
        <f>F46*$K$2</f>
        <v>45</v>
      </c>
      <c r="H46" s="22">
        <f>F46+G46</f>
        <v>345</v>
      </c>
    </row>
    <row r="47" ht="15.75" customHeight="1" s="11">
      <c r="A47" s="23" t="inlineStr">
        <is>
          <t>Marzo</t>
        </is>
      </c>
      <c r="B47" s="23" t="inlineStr">
        <is>
          <t>Impresora</t>
        </is>
      </c>
      <c r="C47" s="23" t="inlineStr">
        <is>
          <t>Tecnología</t>
        </is>
      </c>
      <c r="D47" s="24" t="n">
        <v>5</v>
      </c>
      <c r="E47" s="25" t="n">
        <v>10</v>
      </c>
      <c r="F47" s="25">
        <f>D47*E47</f>
        <v>50.0</v>
      </c>
      <c r="G47" s="25">
        <f>F47*$K$2</f>
        <v>7.5</v>
      </c>
      <c r="H47" s="25">
        <f>F47+G47</f>
        <v>57.5</v>
      </c>
    </row>
    <row r="48" ht="15.75" customHeight="1" s="11">
      <c r="A48" s="20" t="inlineStr">
        <is>
          <t>Enero</t>
        </is>
      </c>
      <c r="B48" s="20" t="inlineStr">
        <is>
          <t>Impresora</t>
        </is>
      </c>
      <c r="C48" s="20" t="inlineStr">
        <is>
          <t>Tecnología</t>
        </is>
      </c>
      <c r="D48" s="21" t="n">
        <v>14</v>
      </c>
      <c r="E48" s="22" t="n">
        <v>75</v>
      </c>
      <c r="F48" s="22">
        <f>D48*E48</f>
        <v>1050.0</v>
      </c>
      <c r="G48" s="22">
        <f>F48*$K$2</f>
        <v>157.5</v>
      </c>
      <c r="H48" s="22">
        <f>F48+G48</f>
        <v>1207.5</v>
      </c>
    </row>
    <row r="49" ht="15.75" customHeight="1" s="11">
      <c r="A49" s="23" t="inlineStr">
        <is>
          <t>Febrero</t>
        </is>
      </c>
      <c r="B49" s="23" t="inlineStr">
        <is>
          <t>Escritorio</t>
        </is>
      </c>
      <c r="C49" s="23" t="inlineStr">
        <is>
          <t>Oficina</t>
        </is>
      </c>
      <c r="D49" s="24" t="n">
        <v>5</v>
      </c>
      <c r="E49" s="25" t="n">
        <v>5</v>
      </c>
      <c r="F49" s="25">
        <f>D49*E49</f>
        <v>25.0</v>
      </c>
      <c r="G49" s="25">
        <f>F49*$K$2</f>
        <v>3.75</v>
      </c>
      <c r="H49" s="25">
        <f>F49+G49</f>
        <v>28.75</v>
      </c>
    </row>
    <row r="50" ht="15.75" customHeight="1" s="11">
      <c r="A50" s="20" t="inlineStr">
        <is>
          <t>Febrero</t>
        </is>
      </c>
      <c r="B50" s="20" t="inlineStr">
        <is>
          <t>Router</t>
        </is>
      </c>
      <c r="C50" s="20" t="inlineStr">
        <is>
          <t>Tecnología</t>
        </is>
      </c>
      <c r="D50" s="21" t="n">
        <v>7</v>
      </c>
      <c r="E50" s="22" t="n">
        <v>5</v>
      </c>
      <c r="F50" s="22">
        <f>D50*E50</f>
        <v>35.0</v>
      </c>
      <c r="G50" s="22">
        <f>F50*$K$2</f>
        <v>5.25</v>
      </c>
      <c r="H50" s="22">
        <f>F50+G50</f>
        <v>40.25</v>
      </c>
    </row>
    <row r="51" ht="15.75" customHeight="1" s="11">
      <c r="A51" s="23" t="inlineStr">
        <is>
          <t>Marzo</t>
        </is>
      </c>
      <c r="B51" s="23" t="inlineStr">
        <is>
          <t>Router</t>
        </is>
      </c>
      <c r="C51" s="23" t="inlineStr">
        <is>
          <t>Tecnología</t>
        </is>
      </c>
      <c r="D51" s="24" t="n">
        <v>10</v>
      </c>
      <c r="E51" s="25" t="n">
        <v>50</v>
      </c>
      <c r="F51" s="25">
        <f>D51*E51</f>
        <v>500.0</v>
      </c>
      <c r="G51" s="25">
        <f>F51*$K$2</f>
        <v>75</v>
      </c>
      <c r="H51" s="25">
        <f>F51+G51</f>
        <v>575</v>
      </c>
    </row>
    <row r="52" ht="15.75" customHeight="1" s="11">
      <c r="A52" s="20" t="inlineStr">
        <is>
          <t>Marzo</t>
        </is>
      </c>
      <c r="B52" s="20" t="inlineStr">
        <is>
          <t>Tinta</t>
        </is>
      </c>
      <c r="C52" s="20" t="inlineStr">
        <is>
          <t>Tecnología</t>
        </is>
      </c>
      <c r="D52" s="21" t="n">
        <v>19</v>
      </c>
      <c r="E52" s="22" t="n">
        <v>10</v>
      </c>
      <c r="F52" s="22">
        <f>D52*E52</f>
        <v>190.0</v>
      </c>
      <c r="G52" s="22">
        <f>F52*$K$2</f>
        <v>28.5</v>
      </c>
      <c r="H52" s="22">
        <f>F52+G52</f>
        <v>218.5</v>
      </c>
    </row>
    <row r="53" ht="15.75" customHeight="1" s="11">
      <c r="A53" s="23" t="inlineStr">
        <is>
          <t>Febrero</t>
        </is>
      </c>
      <c r="B53" s="23" t="inlineStr">
        <is>
          <t>Cuadernos</t>
        </is>
      </c>
      <c r="C53" s="23" t="inlineStr">
        <is>
          <t>Papelería</t>
        </is>
      </c>
      <c r="D53" s="24" t="n">
        <v>12</v>
      </c>
      <c r="E53" s="25" t="n">
        <v>10</v>
      </c>
      <c r="F53" s="25">
        <f>D53*E53</f>
        <v>120.0</v>
      </c>
      <c r="G53" s="25">
        <f>F53*$K$2</f>
        <v>18</v>
      </c>
      <c r="H53" s="25">
        <f>F53+G53</f>
        <v>138</v>
      </c>
    </row>
    <row r="54" ht="15.75" customHeight="1" s="11">
      <c r="A54" s="20" t="inlineStr">
        <is>
          <t>Enero</t>
        </is>
      </c>
      <c r="B54" s="20" t="inlineStr">
        <is>
          <t>Lápiz</t>
        </is>
      </c>
      <c r="C54" s="20" t="inlineStr">
        <is>
          <t>Papelería</t>
        </is>
      </c>
      <c r="D54" s="21" t="n">
        <v>10</v>
      </c>
      <c r="E54" s="22" t="n">
        <v>20</v>
      </c>
      <c r="F54" s="22">
        <f>D54*E54</f>
        <v>200.0</v>
      </c>
      <c r="G54" s="22">
        <f>F54*$K$2</f>
        <v>30</v>
      </c>
      <c r="H54" s="22">
        <f>F54+G54</f>
        <v>230</v>
      </c>
    </row>
    <row r="55" ht="15.75" customHeight="1" s="11">
      <c r="A55" s="23" t="inlineStr">
        <is>
          <t>Enero</t>
        </is>
      </c>
      <c r="B55" s="23" t="inlineStr">
        <is>
          <t>Lápiz</t>
        </is>
      </c>
      <c r="C55" s="23" t="inlineStr">
        <is>
          <t>Papelería</t>
        </is>
      </c>
      <c r="D55" s="24" t="n">
        <v>2</v>
      </c>
      <c r="E55" s="25" t="n">
        <v>10</v>
      </c>
      <c r="F55" s="25">
        <f>D55*E55</f>
        <v>20.0</v>
      </c>
      <c r="G55" s="25">
        <f>F55*$K$2</f>
        <v>3</v>
      </c>
      <c r="H55" s="25">
        <f>F55+G55</f>
        <v>23</v>
      </c>
    </row>
    <row r="56" ht="15.75" customHeight="1" s="11">
      <c r="D56" s="8" t="n"/>
      <c r="E56" s="26" t="inlineStr">
        <is>
          <t>TOTALES:</t>
        </is>
      </c>
      <c r="F56" s="27">
        <f>SUM(F6:F55)</f>
        <v>18215.0</v>
      </c>
      <c r="G56" s="27">
        <f>SUM(G6:G55)</f>
        <v>2732.25</v>
      </c>
      <c r="H56" s="27">
        <f>SUM(H6:H55)</f>
        <v>20947.25</v>
      </c>
    </row>
    <row r="57" ht="15.75" customHeight="1" s="11">
      <c r="D57" s="8" t="n"/>
    </row>
    <row r="58" ht="15.75" customHeight="1" s="11">
      <c r="D58" s="8" t="n"/>
    </row>
    <row r="59" ht="15.75" customHeight="1" s="11">
      <c r="D59" s="8" t="n"/>
    </row>
    <row r="60" ht="15.75" customHeight="1" s="11">
      <c r="D60" s="8" t="n"/>
    </row>
    <row r="61" ht="15.75" customHeight="1" s="11">
      <c r="D61" s="8" t="n"/>
    </row>
    <row r="62" ht="15.75" customHeight="1" s="11">
      <c r="D62" s="8" t="n"/>
    </row>
    <row r="63" ht="15.75" customHeight="1" s="11">
      <c r="D63" s="8" t="n"/>
    </row>
    <row r="64" ht="15.75" customHeight="1" s="11">
      <c r="D64" s="8" t="n"/>
    </row>
    <row r="65" ht="15.75" customHeight="1" s="11">
      <c r="D65" s="8" t="n"/>
    </row>
    <row r="66" ht="15.75" customHeight="1" s="11">
      <c r="D66" s="8" t="n"/>
    </row>
    <row r="67" ht="15.75" customHeight="1" s="11">
      <c r="D67" s="8" t="n"/>
    </row>
    <row r="68" ht="15.75" customHeight="1" s="11">
      <c r="D68" s="8" t="n"/>
    </row>
    <row r="69" ht="15.75" customHeight="1" s="11">
      <c r="D69" s="8" t="n"/>
    </row>
    <row r="70" ht="15.75" customHeight="1" s="11">
      <c r="D70" s="8" t="n"/>
    </row>
    <row r="71" ht="15.75" customHeight="1" s="11">
      <c r="D71" s="8" t="n"/>
    </row>
    <row r="72" ht="15.75" customHeight="1" s="11">
      <c r="D72" s="8" t="n"/>
    </row>
    <row r="73" ht="15.75" customHeight="1" s="11">
      <c r="D73" s="8" t="n"/>
    </row>
    <row r="74" ht="15.75" customHeight="1" s="11">
      <c r="D74" s="8" t="n"/>
    </row>
    <row r="75" ht="15.75" customHeight="1" s="11">
      <c r="D75" s="8" t="n"/>
    </row>
    <row r="76" ht="15.75" customHeight="1" s="11">
      <c r="D76" s="8" t="n"/>
    </row>
    <row r="77" ht="15.75" customHeight="1" s="11">
      <c r="D77" s="8" t="n"/>
    </row>
    <row r="78" ht="15.75" customHeight="1" s="11">
      <c r="D78" s="8" t="n"/>
    </row>
    <row r="79" ht="15.75" customHeight="1" s="11">
      <c r="D79" s="8" t="n"/>
    </row>
    <row r="80" ht="15.75" customHeight="1" s="11">
      <c r="D80" s="8" t="n"/>
    </row>
    <row r="81" ht="15.75" customHeight="1" s="11">
      <c r="D81" s="8" t="n"/>
    </row>
    <row r="82" ht="15.75" customHeight="1" s="11">
      <c r="D82" s="8" t="n"/>
    </row>
    <row r="83" ht="15.75" customHeight="1" s="11">
      <c r="D83" s="8" t="n"/>
    </row>
    <row r="84" ht="15.75" customHeight="1" s="11">
      <c r="D84" s="8" t="n"/>
    </row>
    <row r="85" ht="15.75" customHeight="1" s="11">
      <c r="D85" s="8" t="n"/>
    </row>
    <row r="86" ht="15.75" customHeight="1" s="11">
      <c r="D86" s="8" t="n"/>
    </row>
    <row r="87" ht="15.75" customHeight="1" s="11">
      <c r="D87" s="8" t="n"/>
    </row>
    <row r="88" ht="15.75" customHeight="1" s="11">
      <c r="D88" s="8" t="n"/>
    </row>
    <row r="89" ht="15.75" customHeight="1" s="11">
      <c r="D89" s="8" t="n"/>
    </row>
    <row r="90" ht="15.75" customHeight="1" s="11">
      <c r="D90" s="8" t="n"/>
    </row>
    <row r="91" ht="15.75" customHeight="1" s="11">
      <c r="D91" s="8" t="n"/>
    </row>
    <row r="92" ht="15.75" customHeight="1" s="11">
      <c r="D92" s="8" t="n"/>
    </row>
    <row r="93" ht="15.75" customHeight="1" s="11">
      <c r="D93" s="8" t="n"/>
    </row>
    <row r="94" ht="15.75" customHeight="1" s="11">
      <c r="D94" s="8" t="n"/>
    </row>
    <row r="95" ht="15.75" customHeight="1" s="11">
      <c r="D95" s="8" t="n"/>
    </row>
    <row r="96" ht="15.75" customHeight="1" s="11">
      <c r="D96" s="8" t="n"/>
    </row>
    <row r="97" ht="15.75" customHeight="1" s="11">
      <c r="D97" s="8" t="n"/>
    </row>
    <row r="98" ht="15.75" customHeight="1" s="11">
      <c r="D98" s="8" t="n"/>
    </row>
    <row r="99" ht="15.75" customHeight="1" s="11">
      <c r="D99" s="8" t="n"/>
    </row>
    <row r="100" ht="15.75" customHeight="1" s="11">
      <c r="D100" s="8" t="n"/>
    </row>
  </sheetData>
  <mergeCells count="5">
    <mergeCell ref="J3:K3"/>
    <mergeCell ref="A3:H3"/>
    <mergeCell ref="A2:H2"/>
    <mergeCell ref="J1:K1"/>
    <mergeCell ref="A1:H1"/>
  </mergeCells>
  <conditionalFormatting sqref="H6:H55">
    <cfRule type="cellIs" priority="1" operator="greaterThan" dxfId="0">
      <formula>500</formula>
    </cfRule>
    <cfRule type="cellIs" priority="2" operator="lessThan" dxfId="1">
      <formula>200</formula>
    </cfRule>
  </conditionalFormatting>
  <dataValidations count="1">
    <dataValidation sqref="C6:C55" showDropDown="0" showInputMessage="0" showErrorMessage="0" allowBlank="0" errorTitle="Categoría inválida" error="Seleccione: Papelería, Tecnología u Oficina" promptTitle="Categoría" prompt="Elija una categoría de la lista" type="list">
      <formula1>=Hoja1!$A$3:$A$5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0" customWidth="1" style="11" min="1" max="1"/>
    <col width="13" customWidth="1" style="11" min="2" max="2"/>
    <col width="13" customWidth="1" style="11" min="3" max="3"/>
    <col width="14" customWidth="1" style="11" min="4" max="4"/>
    <col width="14" customWidth="1" style="11" min="5" max="5"/>
  </cols>
  <sheetData>
    <row r="1" ht="26" customHeight="1" s="11">
      <c r="A1" s="28" t="inlineStr">
        <is>
          <t>LOS INTELECTUALES S.A.  —  ANÁLISIS DE VENTAS 1er TRIMESTRE 2026</t>
        </is>
      </c>
    </row>
    <row r="3">
      <c r="A3" s="29" t="inlineStr">
        <is>
          <t>VENTAS TOTALES POR MES</t>
        </is>
      </c>
      <c r="D3" s="29" t="inlineStr">
        <is>
          <t>VENTAS POR CATEGORÍA</t>
        </is>
      </c>
    </row>
    <row r="4">
      <c r="A4" s="30" t="inlineStr">
        <is>
          <t>Mes</t>
        </is>
      </c>
      <c r="B4" s="30" t="inlineStr">
        <is>
          <t>Total Venta</t>
        </is>
      </c>
      <c r="D4" s="30" t="inlineStr">
        <is>
          <t>Categoría</t>
        </is>
      </c>
      <c r="E4" s="30" t="inlineStr">
        <is>
          <t>Total Venta</t>
        </is>
      </c>
    </row>
    <row r="5">
      <c r="A5" s="31" t="inlineStr">
        <is>
          <t>Enero</t>
        </is>
      </c>
      <c r="B5" s="32">
        <f>SUMIFS(Ventas!$H$6:$H$55,Ventas!$A$6:$A$55,A5)</f>
        <v>8573.25</v>
      </c>
      <c r="D5" s="31" t="inlineStr">
        <is>
          <t>Tecnología</t>
        </is>
      </c>
      <c r="E5" s="32">
        <f>SUMIFS(Ventas!$H$6:$H$55,Ventas!$C$6:$C$55,D5)</f>
        <v>11126.25</v>
      </c>
    </row>
    <row r="6">
      <c r="A6" s="31" t="inlineStr">
        <is>
          <t>Febrero</t>
        </is>
      </c>
      <c r="B6" s="32">
        <f>SUMIFS(Ventas!$H$6:$H$55,Ventas!$A$6:$A$55,A6)</f>
        <v>7101.25</v>
      </c>
      <c r="D6" s="31" t="inlineStr">
        <is>
          <t>Papelería</t>
        </is>
      </c>
      <c r="E6" s="32">
        <f>SUMIFS(Ventas!$H$6:$H$55,Ventas!$C$6:$C$55,D6)</f>
        <v>6480.25</v>
      </c>
    </row>
    <row r="7">
      <c r="A7" s="31" t="inlineStr">
        <is>
          <t>Marzo</t>
        </is>
      </c>
      <c r="B7" s="32">
        <f>SUMIFS(Ventas!$H$6:$H$55,Ventas!$A$6:$A$55,A7)</f>
        <v>5272.75</v>
      </c>
      <c r="D7" s="31" t="inlineStr">
        <is>
          <t>Oficina</t>
        </is>
      </c>
      <c r="E7" s="32">
        <f>SUMIFS(Ventas!$H$6:$H$55,Ventas!$C$6:$C$55,D7)</f>
        <v>3340.75</v>
      </c>
    </row>
    <row r="8">
      <c r="A8" s="33" t="inlineStr">
        <is>
          <t>TOTAL</t>
        </is>
      </c>
      <c r="B8" s="34">
        <f>SUM(B5:B7)</f>
        <v>20947.25</v>
      </c>
      <c r="D8" s="33" t="inlineStr">
        <is>
          <t>TOTAL</t>
        </is>
      </c>
      <c r="E8" s="34">
        <f>SUM(E5:E7)</f>
        <v>20947.25</v>
      </c>
    </row>
    <row r="11">
      <c r="A11" s="29" t="inlineStr">
        <is>
          <t>TABLA DINÁMICA — VENTAS POR CATEGORÍA Y MES</t>
        </is>
      </c>
    </row>
    <row r="12">
      <c r="A12" s="30" t="inlineStr">
        <is>
          <t>Categoría \ Mes</t>
        </is>
      </c>
      <c r="B12" s="30" t="inlineStr">
        <is>
          <t>Enero</t>
        </is>
      </c>
      <c r="C12" s="30" t="inlineStr">
        <is>
          <t>Febrero</t>
        </is>
      </c>
      <c r="D12" s="30" t="inlineStr">
        <is>
          <t>Marzo</t>
        </is>
      </c>
      <c r="E12" s="30" t="inlineStr">
        <is>
          <t>Total general</t>
        </is>
      </c>
    </row>
    <row r="13">
      <c r="A13" s="33" t="inlineStr">
        <is>
          <t>Tecnología</t>
        </is>
      </c>
      <c r="B13" s="32">
        <f>SUMIFS(Ventas!$H$6:$H$55,Ventas!$C$6:$C$55,$A13,Ventas!$A$6:$A$55,B$12)</f>
        <v>3996.25</v>
      </c>
      <c r="C13" s="32">
        <f>SUMIFS(Ventas!$H$6:$H$55,Ventas!$C$6:$C$55,$A13,Ventas!$A$6:$A$55,C$12)</f>
        <v>4519.5</v>
      </c>
      <c r="D13" s="32">
        <f>SUMIFS(Ventas!$H$6:$H$55,Ventas!$C$6:$C$55,$A13,Ventas!$A$6:$A$55,D$12)</f>
        <v>2610.5</v>
      </c>
      <c r="E13" s="34">
        <f>SUM(B13:D13)</f>
        <v>11126.25</v>
      </c>
    </row>
    <row r="14">
      <c r="A14" s="33" t="inlineStr">
        <is>
          <t>Papelería</t>
        </is>
      </c>
      <c r="B14" s="32">
        <f>SUMIFS(Ventas!$H$6:$H$55,Ventas!$C$6:$C$55,$A14,Ventas!$A$6:$A$55,B$12)</f>
        <v>2967</v>
      </c>
      <c r="C14" s="32">
        <f>SUMIFS(Ventas!$H$6:$H$55,Ventas!$C$6:$C$55,$A14,Ventas!$A$6:$A$55,C$12)</f>
        <v>2438</v>
      </c>
      <c r="D14" s="32">
        <f>SUMIFS(Ventas!$H$6:$H$55,Ventas!$C$6:$C$55,$A14,Ventas!$A$6:$A$55,D$12)</f>
        <v>1075.25</v>
      </c>
      <c r="E14" s="34">
        <f>SUM(B14:D14)</f>
        <v>6480.25</v>
      </c>
    </row>
    <row r="15">
      <c r="A15" s="33" t="inlineStr">
        <is>
          <t>Oficina</t>
        </is>
      </c>
      <c r="B15" s="32">
        <f>SUMIFS(Ventas!$H$6:$H$55,Ventas!$C$6:$C$55,$A15,Ventas!$A$6:$A$55,B$12)</f>
        <v>1610</v>
      </c>
      <c r="C15" s="32">
        <f>SUMIFS(Ventas!$H$6:$H$55,Ventas!$C$6:$C$55,$A15,Ventas!$A$6:$A$55,C$12)</f>
        <v>143.75</v>
      </c>
      <c r="D15" s="32">
        <f>SUMIFS(Ventas!$H$6:$H$55,Ventas!$C$6:$C$55,$A15,Ventas!$A$6:$A$55,D$12)</f>
        <v>1587</v>
      </c>
      <c r="E15" s="34">
        <f>SUM(B15:D15)</f>
        <v>3340.75</v>
      </c>
    </row>
    <row r="16">
      <c r="A16" s="35" t="inlineStr">
        <is>
          <t>Total general</t>
        </is>
      </c>
      <c r="B16" s="36">
        <f>SUM(B13:B15)</f>
        <v>8573.25</v>
      </c>
      <c r="C16" s="36">
        <f>SUM(C13:C15)</f>
        <v>7101.25</v>
      </c>
      <c r="D16" s="36">
        <f>SUM(D13:D15)</f>
        <v>5272.75</v>
      </c>
      <c r="E16" s="36">
        <f>SUM(E13:E15)</f>
        <v>20947.25</v>
      </c>
    </row>
    <row r="18">
      <c r="A18" s="37" t="inlineStr">
        <is>
          <t>Nota: Tabla de resumen (SUMIFS) equivalente a una tabla dinámica de Categoría × Mes. En Excel puede convertirla en Tabla Dinámica nativa (Insertar &gt; Tabla dinámica) y añadir un Segmentador por Producto.</t>
        </is>
      </c>
    </row>
    <row r="19"/>
  </sheetData>
  <mergeCells count="5">
    <mergeCell ref="A11:E11"/>
    <mergeCell ref="A18:H19"/>
    <mergeCell ref="A1:H1"/>
    <mergeCell ref="D3:E3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1"/>
  </cols>
  <sheetData>
    <row r="1">
      <c r="A1" s="29" t="inlineStr">
        <is>
          <t>CATEGORÍAS</t>
        </is>
      </c>
    </row>
    <row r="2"/>
    <row r="3">
      <c r="A3" s="38" t="inlineStr">
        <is>
          <t>Tecnología</t>
        </is>
      </c>
    </row>
    <row r="4">
      <c r="A4" s="39" t="inlineStr">
        <is>
          <t>Papelería</t>
        </is>
      </c>
    </row>
    <row r="5">
      <c r="A5" s="38" t="inlineStr">
        <is>
          <t>Oficina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2025-07-09T17:58:22Z</dcterms:created>
  <dcterms:modified xsi:type="dcterms:W3CDTF">2026-07-29T15:43:54Z</dcterms:modified>
  <cp:lastModifiedBy>Jornada Matutina</cp:lastModifiedBy>
</cp:coreProperties>
</file>